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Rodadas" state="visible" r:id="rId5"/>
    <sheet sheetId="3" name="CPU por amostra" state="visible" r:id="rId6"/>
    <sheet sheetId="4" name="RSS" state="visible" r:id="rId7"/>
    <sheet sheetId="5" name="Método" state="visible" r:id="rId8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G4" authorId="0">
      <text>
        <r>
          <t>Valor de TOTAL PSS do dumpsys meminfo ao fim de cada rodada (fonte: arquivos rN_X_meminfo.txt).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G2" authorId="0">
      <text>
        <r>
          <t>Valor de getconf CLK_TCK no Galaxy A54 (ticks do kernel por segundo).</t>
        </r>
      </text>
    </comment>
  </commentList>
</comments>
</file>

<file path=xl/sharedStrings.xml><?xml version="1.0" encoding="utf-8"?>
<sst xmlns="http://schemas.openxmlformats.org/spreadsheetml/2006/main" count="1296" uniqueCount="89">
  <si>
    <t>Teste de sobrecarga do instrumento (A/B): ORG no Android (Samsung Galaxy A54 5G)</t>
  </si>
  <si>
    <t>Pergunta: medir CPU, memória e FPS dentro do próprio app compromete o desempenho? (efeito do observador)</t>
  </si>
  <si>
    <t>Build A = app sem medição · Build B = build do experimento (Sentry + coletor de 15 s) · medição externa via adb · 3 rodadas por build</t>
  </si>
  <si>
    <t>Métrica</t>
  </si>
  <si>
    <t>n (A)</t>
  </si>
  <si>
    <t>Média A</t>
  </si>
  <si>
    <t>Desvio padrão A</t>
  </si>
  <si>
    <t>n (B)</t>
  </si>
  <si>
    <t>Média B</t>
  </si>
  <si>
    <t>Desvio padrão B</t>
  </si>
  <si>
    <t>Diferença (B − A)</t>
  </si>
  <si>
    <t>Diferença relativa</t>
  </si>
  <si>
    <t>t de Welch</t>
  </si>
  <si>
    <t>Graus de liberdade (Welch)</t>
  </si>
  <si>
    <t>p (bicaudal)</t>
  </si>
  <si>
    <t>CPU média (% de um núcleo)</t>
  </si>
  <si>
    <t>RSS médio (MB)</t>
  </si>
  <si>
    <t>PSS final (MB)</t>
  </si>
  <si>
    <t>Leitura (06/10/2026)</t>
  </si>
  <si>
    <t>A medição dentro do app acrescentou cerca de 0,6 ponto percentual de CPU e 4 MB de memória residente. As diferenças não são significativas (p &gt; 0,05) e têm a mesma ordem de grandeza da variação entre rodadas do mesmo build.</t>
  </si>
  <si>
    <t>Observações</t>
  </si>
  <si>
    <t>CPU em % de um núcleo: 100% = um núcleo inteiro ocupado (o A54 tem 8 núcleos).</t>
  </si>
  <si>
    <t>p bicaudal da distribuição t com os graus de liberdade de Welch (fracionários): p = BETA.DIST(gl ÷ (gl + t²); gl ÷ 2; 0,5; VERDADEIRO). A função DIST.T.BC (T.DIST.2T) do Excel truncaria os graus de liberdade.</t>
  </si>
  <si>
    <t>Com 3 rodadas por build o poder estatístico é baixo: o resultado indica sobrecarga pequena e indistinguível da variação natural, e não sobrecarga zero.</t>
  </si>
  <si>
    <t>O instrumento está nas builds do experimento das duas plataformas, então seu custo não favorece Android nem iOS na comparação.</t>
  </si>
  <si>
    <t>Condições: estado térmico 0 em todas as rodadas; bateria de 66 a 69% (carregando pelo USB, igual para A e B); tela a 60 Hz; app parado na lista de Pedidos.</t>
  </si>
  <si>
    <t>Rastreabilidade: dados brutos nas abas 'CPU por amostra' e 'RSS'; resultados por rodada na aba 'Rodadas'; procedimento na aba 'Método'.</t>
  </si>
  <si>
    <t>Resultados por rodada: 6 rodadas na ordem A B A B B A; em cada uma, 180 amostras de CPU (~195 s) sem toque, após 60 s de estabilização</t>
  </si>
  <si>
    <t>Build A = app sem medição (sem Sentry e sem coletor) · Build B = build do experimento (Sentry com tracing + coletor de 15 s)</t>
  </si>
  <si>
    <t>Rodada</t>
  </si>
  <si>
    <t>Build</t>
  </si>
  <si>
    <t>Início da medição (horário de Brasília)</t>
  </si>
  <si>
    <t>CPU máxima entre duas amostras (% de um núcleo)</t>
  </si>
  <si>
    <t>PSS final (kB, dumpsys)</t>
  </si>
  <si>
    <t>Duração medida (s)</t>
  </si>
  <si>
    <t>Amostras de CPU</t>
  </si>
  <si>
    <t>App em primeiro plano</t>
  </si>
  <si>
    <t>Estado térmico (0 = normal)</t>
  </si>
  <si>
    <t>Bateria (%)</t>
  </si>
  <si>
    <t>Aux.: (CPU − média do build)²</t>
  </si>
  <si>
    <t>Aux.: (RSS − média do build)²</t>
  </si>
  <si>
    <t>Aux.: (PSS − média do build)²</t>
  </si>
  <si>
    <t>A</t>
  </si>
  <si>
    <t>06/10/2026, 19:49:18</t>
  </si>
  <si>
    <t>sim</t>
  </si>
  <si>
    <t>B</t>
  </si>
  <si>
    <t>06/10/2026, 19:54:58</t>
  </si>
  <si>
    <t>06/10/2026, 20:04:35</t>
  </si>
  <si>
    <t>06/10/2026, 20:09:48</t>
  </si>
  <si>
    <t>06/10/2026, 20:15:00</t>
  </si>
  <si>
    <t>06/10/2026, 20:20:35</t>
  </si>
  <si>
    <t>Dados brutos de CPU: /proc/&lt;pid&gt;/stat a cada ~1,1 s (pausa de 1 s + tempo da leitura), lido pelo shell do adb, fora do app</t>
  </si>
  <si>
    <t>utime+stime em ticks do kernel; CPU no intervalo = Δticks ÷ CLK_TCK ÷ Δt × 100 (% de um núcleo)</t>
  </si>
  <si>
    <t>CLK_TCK (ticks/s):</t>
  </si>
  <si>
    <t>Amostra</t>
  </si>
  <si>
    <t>Instante (s, relógio do aparelho)</t>
  </si>
  <si>
    <t>Tempo desde o início (s)</t>
  </si>
  <si>
    <t>utime+stime (ticks)</t>
  </si>
  <si>
    <t>CPU no intervalo (% de um núcleo)</t>
  </si>
  <si>
    <t>Dados brutos de memória residente: VmRSS de /proc/&lt;pid&gt;/status a cada 10 amostras de CPU (~11 s), lido pelo shell do adb</t>
  </si>
  <si>
    <t>RSS (MB) = kB × 1024 ÷ 1.000.000 (megabytes decimais)</t>
  </si>
  <si>
    <t>VmRSS (kB)</t>
  </si>
  <si>
    <t>RSS (MB)</t>
  </si>
  <si>
    <t>Método do teste de sobrecarga (A/B)</t>
  </si>
  <si>
    <t>Item</t>
  </si>
  <si>
    <t>Descrição</t>
  </si>
  <si>
    <t>Objetivo</t>
  </si>
  <si>
    <t>Medir de fora do app quanto CPU e memória a instrumentação (Sentry + coletor de 15 s) acrescenta, para responder ao efeito do observador.</t>
  </si>
  <si>
    <t>Aparelho</t>
  </si>
  <si>
    <t>Samsung Galaxy A54 5G, tela em 60 Hz (Suavidade de movimentos: Padrão), conectado por USB ao PC e carregando.</t>
  </si>
  <si>
    <t>Build A</t>
  </si>
  <si>
    <t>App sem medição: build local sem o DSN do Sentry. Sem DSN o Sentry fica inerte (não monta integrações nem inicializa o SDK nativo) e o coletor não liga. Ausência do DSN conferida no APK; cache do Metro limpo antes da build.</t>
  </si>
  <si>
    <t>Build B</t>
  </si>
  <si>
    <t>Build do experimento: Sentry com tracing a 100% + coletor de CPU, memória e FPS a cada 15 s (commit 14733be).</t>
  </si>
  <si>
    <t>Ordem</t>
  </si>
  <si>
    <t>A B A B B A (contrabalançada, para distribuir igualmente variações ao longo do tempo, como temperatura e bateria).</t>
  </si>
  <si>
    <t>Instalação da build; app fechado; 30 s de pausa; abertura a frio; 60 s de estabilização na lista de Pedidos; 180 amostras de CPU (~195 s) sem toque; PSS por dumpsys no fim.</t>
  </si>
  <si>
    <t>CPU</t>
  </si>
  <si>
    <t>/proc/&lt;pid&gt;/stat (utime + stime), a mesma fonte do top, lido pelo shell do adb, fora do app, a cada ~1,1 s (pausa de 1 s + leitura). A média da rodada divide os ticks pelo tempo real decorrido, então o intervalo não precisa ser exato.</t>
  </si>
  <si>
    <t>Memória</t>
  </si>
  <si>
    <t>VmRSS de /proc/&lt;pid&gt;/status a cada 10 amostras de CPU (~11 s); PSS total por dumpsys meminfo uma vez no fim (fora da janela de CPU, porque o dumpsys faz o app trabalhar).</t>
  </si>
  <si>
    <t>Validade</t>
  </si>
  <si>
    <t>Rodada válida se tiver ≥ 175 amostras de CPU, o mesmo PID do início ao fim e o app em primeiro plano. Na série final, só a rodada 3 foi repetida (a 1ª tentativa parou em 49 amostras). Duas séries anteriores, interrompidas pela perda do aparelho no adb, foram descartadas inteiras.</t>
  </si>
  <si>
    <t>Estatística</t>
  </si>
  <si>
    <t>Média e desvio padrão amostral por build; diferença B − A; teste t de Welch (variâncias desiguais), p bicaudal.</t>
  </si>
  <si>
    <t>Limitações</t>
  </si>
  <si>
    <t>3 rodadas por build (poder estatístico baixo); medição externa só no Android, porque no iOS exigiria macOS; aparelho carregando pelo USB durante o teste.</t>
  </si>
  <si>
    <t>Observação operacional</t>
  </si>
  <si>
    <t>O servidor do adb no Windows perdeu o aparelho depois de ~10 min em algumas tentativas, mesmo com o USB ativo. Reiniciar o servidor resolveu, e o script passou a repetir rodadas inválidas.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</si>
</sst>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0.0"/>
    <numFmt numFmtId="166" formatCode="0.0000"/>
    <numFmt numFmtId="167" formatCode="0.000"/>
  </numFmts>
  <fonts count="4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1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3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" customWidth="1"/>
    <col min="3" max="3" width="11" customWidth="1"/>
    <col min="4" max="4" width="15" customWidth="1"/>
    <col min="5" max="5" width="8" customWidth="1"/>
    <col min="6" max="6" width="11" customWidth="1"/>
    <col min="7" max="7" width="15" customWidth="1"/>
    <col min="8" max="8" width="16" customWidth="1"/>
    <col min="9" max="9" width="14" customWidth="1"/>
    <col min="10" max="10" width="11" customWidth="1"/>
    <col min="11" max="11" width="14" customWidth="1"/>
    <col min="12" max="12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ht="42" customHeight="1" spans="1:1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spans="1:12" x14ac:dyDescent="0.25">
      <c r="A6" s="2" t="s">
        <v>15</v>
      </c>
      <c r="B6" s="4">
        <f>COUNTIF(Rodadas!$B$5:$B$10,"A")</f>
        <v>3</v>
      </c>
      <c r="C6" s="5">
        <f>AVERAGEIF(Rodadas!$B$5:$B$10,"A",Rodadas!D$5:D$10)</f>
        <v>11.4879627008755</v>
      </c>
      <c r="D6" s="5">
        <f>SQRT(SUMIF(Rodadas!$B$5:$B$10,"A",Rodadas!N$5:N$10)/(B6-1))</f>
        <v>0.727904097803057</v>
      </c>
      <c r="E6" s="4">
        <f>COUNTIF(Rodadas!$B$5:$B$10,"B")</f>
        <v>3</v>
      </c>
      <c r="F6" s="5">
        <f>AVERAGEIF(Rodadas!$B$5:$B$10,"B",Rodadas!D$5:D$10)</f>
        <v>12.0896610985638</v>
      </c>
      <c r="G6" s="5">
        <f>SQRT(SUMIF(Rodadas!$B$5:$B$10,"B",Rodadas!N$5:N$10)/(E6-1))</f>
        <v>0.584380832408306</v>
      </c>
      <c r="H6" s="5">
        <f>F6-C6</f>
        <v>0.60169839768826</v>
      </c>
      <c r="I6" s="6">
        <f>H6/C6</f>
        <v>0.0523764233359153</v>
      </c>
      <c r="J6" s="5">
        <f>H6/SQRT(D6^2/B6+G6^2/E6)</f>
        <v>1.11646298120455</v>
      </c>
      <c r="K6" s="7">
        <f>(D6^2/B6+G6^2/E6)^2/((D6^2/B6)^2/(B6-1)+(G6^2/E6)^2/(E6-1))</f>
        <v>3.82145447560797</v>
      </c>
      <c r="L6" s="5">
        <f>_xlfn.BETA.DIST(K6/(K6+J6^2),K6/2,0.5,TRUE())</f>
        <v>0.329460909202524</v>
      </c>
    </row>
    <row r="7" spans="1:12" x14ac:dyDescent="0.25">
      <c r="A7" s="2" t="s">
        <v>16</v>
      </c>
      <c r="B7" s="4">
        <f>COUNTIF(Rodadas!$B$5:$B$10,"A")</f>
        <v>3</v>
      </c>
      <c r="C7" s="5">
        <f>AVERAGEIF(Rodadas!$B$5:$B$10,"A",Rodadas!F$5:F$10)</f>
        <v>242.149679407407</v>
      </c>
      <c r="D7" s="5">
        <f>SQRT(SUMIF(Rodadas!$B$5:$B$10,"A",Rodadas!O$5:O$10)/(B7-1))</f>
        <v>2.12276151449313</v>
      </c>
      <c r="E7" s="4">
        <f>COUNTIF(Rodadas!$B$5:$B$10,"B")</f>
        <v>3</v>
      </c>
      <c r="F7" s="5">
        <f>AVERAGEIF(Rodadas!$B$5:$B$10,"B",Rodadas!F$5:F$10)</f>
        <v>246.377585777778</v>
      </c>
      <c r="G7" s="5">
        <f>SQRT(SUMIF(Rodadas!$B$5:$B$10,"B",Rodadas!O$5:O$10)/(E7-1))</f>
        <v>4.66222297425641</v>
      </c>
      <c r="H7" s="5">
        <f>F7-C7</f>
        <v>4.22790637037033</v>
      </c>
      <c r="I7" s="6">
        <f>H7/C7</f>
        <v>0.0174598883662243</v>
      </c>
      <c r="J7" s="5">
        <f>H7/SQRT(D7^2/B7+G7^2/E7)</f>
        <v>1.42949909906685</v>
      </c>
      <c r="K7" s="7">
        <f>(D7^2/B7+G7^2/E7)^2/((D7^2/B7)^2/(B7-1)+(G7^2/E7)^2/(E7-1))</f>
        <v>2.79506334562559</v>
      </c>
      <c r="L7" s="5">
        <f>_xlfn.BETA.DIST(K7/(K7+J7^2),K7/2,0.5,TRUE())</f>
        <v>0.254478840152465</v>
      </c>
    </row>
    <row r="8" spans="1:12" x14ac:dyDescent="0.25">
      <c r="A8" s="2" t="s">
        <v>17</v>
      </c>
      <c r="B8" s="4">
        <f>COUNTIF(Rodadas!$B$5:$B$10,"A")</f>
        <v>3</v>
      </c>
      <c r="C8" s="5">
        <f>AVERAGEIF(Rodadas!$B$5:$B$10,"A",Rodadas!H$5:H$10)</f>
        <v>148.934997333333</v>
      </c>
      <c r="D8" s="5">
        <f>SQRT(SUMIF(Rodadas!$B$5:$B$10,"A",Rodadas!P$5:P$10)/(B8-1))</f>
        <v>9.46160386826449</v>
      </c>
      <c r="E8" s="4">
        <f>COUNTIF(Rodadas!$B$5:$B$10,"B")</f>
        <v>3</v>
      </c>
      <c r="F8" s="5">
        <f>AVERAGEIF(Rodadas!$B$5:$B$10,"B",Rodadas!H$5:H$10)</f>
        <v>147.501738666667</v>
      </c>
      <c r="G8" s="5">
        <f>SQRT(SUMIF(Rodadas!$B$5:$B$10,"B",Rodadas!P$5:P$10)/(E8-1))</f>
        <v>11.2290277905118</v>
      </c>
      <c r="H8" s="5">
        <f>F8-C8</f>
        <v>-1.43325866666663</v>
      </c>
      <c r="I8" s="6">
        <f>H8/C8</f>
        <v>-0.00962338397508302</v>
      </c>
      <c r="J8" s="5">
        <f>H8/SQRT(D8^2/B8+G8^2/E8)</f>
        <v>-0.169062668559905</v>
      </c>
      <c r="K8" s="7">
        <f>(D8^2/B8+G8^2/E8)^2/((D8^2/B8)^2/(B8-1)+(G8^2/E8)^2/(E8-1))</f>
        <v>3.88815349406366</v>
      </c>
      <c r="L8" s="5">
        <f>_xlfn.BETA.DIST(K8/(K8+J8^2),K8/2,0.5,TRUE())</f>
        <v>0.874176533705238</v>
      </c>
    </row>
    <row r="10" spans="1:1" x14ac:dyDescent="0.25">
      <c r="A10" s="8" t="s">
        <v>18</v>
      </c>
    </row>
    <row r="11" spans="1:1" x14ac:dyDescent="0.25">
      <c r="A11" s="2" t="s">
        <v>19</v>
      </c>
    </row>
    <row r="13" spans="1:1" x14ac:dyDescent="0.25">
      <c r="A13" s="8" t="s">
        <v>20</v>
      </c>
    </row>
    <row r="14" spans="1:1" x14ac:dyDescent="0.25">
      <c r="A14" s="2" t="s">
        <v>21</v>
      </c>
    </row>
    <row r="15" spans="1:1" x14ac:dyDescent="0.25">
      <c r="A15" s="2" t="s">
        <v>22</v>
      </c>
    </row>
    <row r="16" spans="1:1" x14ac:dyDescent="0.25">
      <c r="A16" s="2" t="s">
        <v>23</v>
      </c>
    </row>
    <row r="17" spans="1:1" x14ac:dyDescent="0.25">
      <c r="A17" s="2" t="s">
        <v>24</v>
      </c>
    </row>
    <row r="18" spans="1:1" x14ac:dyDescent="0.25">
      <c r="A18" s="2" t="s">
        <v>25</v>
      </c>
    </row>
    <row r="19" spans="1:1" x14ac:dyDescent="0.25">
      <c r="A19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2" max="2" width="7" customWidth="1"/>
    <col min="3" max="3" width="22" customWidth="1"/>
    <col min="4" max="4" width="15" customWidth="1"/>
    <col min="5" max="5" width="17" customWidth="1"/>
    <col min="6" max="6" width="13" customWidth="1"/>
    <col min="7" max="7" width="15" customWidth="1"/>
    <col min="8" max="8" width="12" customWidth="1"/>
    <col min="9" max="9" width="14" customWidth="1"/>
    <col min="10" max="10" width="12" customWidth="1"/>
    <col min="11" max="11" width="14" customWidth="1"/>
    <col min="12" max="12" width="15" customWidth="1"/>
    <col min="13" max="13" width="10" customWidth="1"/>
    <col min="14" max="16" width="16" customWidth="1"/>
  </cols>
  <sheetData>
    <row r="1" spans="1:1" x14ac:dyDescent="0.25">
      <c r="A1" s="1" t="s">
        <v>27</v>
      </c>
    </row>
    <row r="2" spans="1:1" x14ac:dyDescent="0.25">
      <c r="A2" s="2" t="s">
        <v>28</v>
      </c>
    </row>
    <row r="4" ht="42" customHeight="1" spans="1:16" x14ac:dyDescent="0.25">
      <c r="A4" s="3" t="s">
        <v>29</v>
      </c>
      <c r="B4" s="3" t="s">
        <v>30</v>
      </c>
      <c r="C4" s="3" t="s">
        <v>31</v>
      </c>
      <c r="D4" s="3" t="s">
        <v>15</v>
      </c>
      <c r="E4" s="3" t="s">
        <v>32</v>
      </c>
      <c r="F4" s="3" t="s">
        <v>16</v>
      </c>
      <c r="G4" s="3" t="s">
        <v>33</v>
      </c>
      <c r="H4" s="3" t="s">
        <v>17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38</v>
      </c>
      <c r="N4" s="3" t="s">
        <v>39</v>
      </c>
      <c r="O4" s="3" t="s">
        <v>40</v>
      </c>
      <c r="P4" s="3" t="s">
        <v>41</v>
      </c>
    </row>
    <row r="5" spans="1:16" x14ac:dyDescent="0.25">
      <c r="A5" s="2">
        <v>1</v>
      </c>
      <c r="B5" s="2" t="s">
        <v>42</v>
      </c>
      <c r="C5" s="2" t="s">
        <v>43</v>
      </c>
      <c r="D5" s="5">
        <f>('CPU por amostra'!F184-'CPU por amostra'!F5)/'CPU por amostra'!$G$2/('CPU por amostra'!D184-'CPU por amostra'!D5)*100</f>
        <v>10.7869969449286</v>
      </c>
      <c r="E5" s="7">
        <f>MAX('CPU por amostra'!G5:G184)</f>
        <v>28.077155078685</v>
      </c>
      <c r="F5" s="7">
        <f>AVERAGE(RSS!F5:F22)</f>
        <v>243.392056888889</v>
      </c>
      <c r="G5" s="9">
        <v>144006</v>
      </c>
      <c r="H5" s="7">
        <f>G5*1024/1000000</f>
        <v>147.462144</v>
      </c>
      <c r="I5" s="7">
        <f>'CPU por amostra'!D184-'CPU por amostra'!D5</f>
        <v>195.42046880722</v>
      </c>
      <c r="J5" s="2">
        <f>COUNT('CPU por amostra'!D5:D184)</f>
        <v>180</v>
      </c>
      <c r="K5" s="2" t="s">
        <v>44</v>
      </c>
      <c r="L5" s="2">
        <v>0</v>
      </c>
      <c r="M5" s="2">
        <v>66</v>
      </c>
      <c r="N5" s="10">
        <f>(D5-AVERAGEIF($B$5:$B$10,B5,D$5:D$10))^2</f>
        <v>0.491352991010226</v>
      </c>
      <c r="O5" s="10">
        <f>(F5-AVERAGEIF($B$5:$B$10,B5,F$5:F$10))^2</f>
        <v>1.54350180649217</v>
      </c>
      <c r="P5" s="10">
        <f>(H5-AVERAGEIF($B$5:$B$10,B5,H$5:H$10))^2</f>
        <v>2.16929694151107</v>
      </c>
    </row>
    <row r="6" spans="1:16" x14ac:dyDescent="0.25">
      <c r="A6" s="2">
        <v>2</v>
      </c>
      <c r="B6" s="2" t="s">
        <v>45</v>
      </c>
      <c r="C6" s="2" t="s">
        <v>46</v>
      </c>
      <c r="D6" s="5">
        <f>('CPU por amostra'!F364-'CPU por amostra'!F185)/'CPU por amostra'!$G$2/('CPU por amostra'!D364-'CPU por amostra'!D185)*100</f>
        <v>12.1539765420299</v>
      </c>
      <c r="E6" s="7">
        <f>MAX('CPU por amostra'!G185:G364)</f>
        <v>29.6387853766267</v>
      </c>
      <c r="F6" s="7">
        <f>AVERAGE(RSS!F23:F40)</f>
        <v>248.570766222222</v>
      </c>
      <c r="G6" s="9">
        <v>156630</v>
      </c>
      <c r="H6" s="7">
        <f>G6*1024/1000000</f>
        <v>160.38912</v>
      </c>
      <c r="I6" s="7">
        <f>'CPU por amostra'!D364-'CPU por amostra'!D185</f>
        <v>195.738406419754</v>
      </c>
      <c r="J6" s="2">
        <f>COUNT('CPU por amostra'!D185:D364)</f>
        <v>180</v>
      </c>
      <c r="K6" s="2" t="s">
        <v>44</v>
      </c>
      <c r="L6" s="2">
        <v>0</v>
      </c>
      <c r="M6" s="2">
        <v>66</v>
      </c>
      <c r="N6" s="10">
        <f>(D6-AVERAGEIF($B$5:$B$10,B6,D$5:D$10))^2</f>
        <v>0.0041364762682427</v>
      </c>
      <c r="O6" s="10">
        <f>(F6-AVERAGEIF($B$5:$B$10,B6,F$5:F$10))^2</f>
        <v>4.81004046189362</v>
      </c>
      <c r="P6" s="10">
        <f>(H6-AVERAGEIF($B$5:$B$10,B6,H$5:H$10))^2</f>
        <v>166.084597630748</v>
      </c>
    </row>
    <row r="7" spans="1:16" x14ac:dyDescent="0.25">
      <c r="A7" s="2">
        <v>3</v>
      </c>
      <c r="B7" s="2" t="s">
        <v>42</v>
      </c>
      <c r="C7" s="2" t="s">
        <v>47</v>
      </c>
      <c r="D7" s="5">
        <f>('CPU por amostra'!F544-'CPU por amostra'!F365)/'CPU por amostra'!$G$2/('CPU por amostra'!D544-'CPU por amostra'!D365)*100</f>
        <v>12.2401041805754</v>
      </c>
      <c r="E7" s="7">
        <f>MAX('CPU por amostra'!G365:G544)</f>
        <v>30.7679755420565</v>
      </c>
      <c r="F7" s="7">
        <f>AVERAGE(RSS!F41:F58)</f>
        <v>239.698602666667</v>
      </c>
      <c r="G7" s="9">
        <v>137008</v>
      </c>
      <c r="H7" s="7">
        <f>G7*1024/1000000</f>
        <v>140.296192</v>
      </c>
      <c r="I7" s="7">
        <f>'CPU por amostra'!D544-'CPU por amostra'!D365</f>
        <v>196.566954374313</v>
      </c>
      <c r="J7" s="2">
        <f>COUNT('CPU por amostra'!D365:D544)</f>
        <v>180</v>
      </c>
      <c r="K7" s="2" t="s">
        <v>44</v>
      </c>
      <c r="L7" s="2">
        <v>0</v>
      </c>
      <c r="M7" s="2">
        <v>67</v>
      </c>
      <c r="N7" s="10">
        <f>(D7-AVERAGEIF($B$5:$B$10,B7,D$5:D$10))^2</f>
        <v>0.565716805485101</v>
      </c>
      <c r="O7" s="10">
        <f>(F7-AVERAGEIF($B$5:$B$10,B7,F$5:F$10))^2</f>
        <v>6.00777718900028</v>
      </c>
      <c r="P7" s="10">
        <f>(H7-AVERAGEIF($B$5:$B$10,B7,H$5:H$10))^2</f>
        <v>74.6289575872283</v>
      </c>
    </row>
    <row r="8" spans="1:16" x14ac:dyDescent="0.25">
      <c r="A8" s="2">
        <v>4</v>
      </c>
      <c r="B8" s="2" t="s">
        <v>45</v>
      </c>
      <c r="C8" s="2" t="s">
        <v>48</v>
      </c>
      <c r="D8" s="5">
        <f>('CPU por amostra'!F724-'CPU por amostra'!F545)/'CPU por amostra'!$G$2/('CPU por amostra'!D724-'CPU por amostra'!D545)*100</f>
        <v>11.4757829971937</v>
      </c>
      <c r="E8" s="7">
        <f>MAX('CPU por amostra'!G545:G724)</f>
        <v>31.6667669730866</v>
      </c>
      <c r="F8" s="7">
        <f>AVERAGE(RSS!F59:F76)</f>
        <v>241.023203555556</v>
      </c>
      <c r="G8" s="9">
        <v>138959</v>
      </c>
      <c r="H8" s="7">
        <f>G8*1024/1000000</f>
        <v>142.294016</v>
      </c>
      <c r="I8" s="7">
        <f>'CPU por amostra'!D724-'CPU por amostra'!D545</f>
        <v>194.845092535019</v>
      </c>
      <c r="J8" s="2">
        <f>COUNT('CPU por amostra'!D545:D724)</f>
        <v>180</v>
      </c>
      <c r="K8" s="2" t="s">
        <v>44</v>
      </c>
      <c r="L8" s="2">
        <v>0</v>
      </c>
      <c r="M8" s="2">
        <v>68</v>
      </c>
      <c r="N8" s="10">
        <f>(D8-AVERAGEIF($B$5:$B$10,B8,D$5:D$10))^2</f>
        <v>0.376846323341732</v>
      </c>
      <c r="O8" s="10">
        <f>(F8-AVERAGEIF($B$5:$B$10,B8,F$5:F$10))^2</f>
        <v>28.6694089816494</v>
      </c>
      <c r="P8" s="10">
        <f>(H8-AVERAGEIF($B$5:$B$10,B8,H$5:H$10))^2</f>
        <v>27.1203753729139</v>
      </c>
    </row>
    <row r="9" spans="1:16" x14ac:dyDescent="0.25">
      <c r="A9" s="2">
        <v>5</v>
      </c>
      <c r="B9" s="2" t="s">
        <v>45</v>
      </c>
      <c r="C9" s="2" t="s">
        <v>49</v>
      </c>
      <c r="D9" s="5">
        <f>('CPU por amostra'!F904-'CPU por amostra'!F725)/'CPU por amostra'!$G$2/('CPU por amostra'!D904-'CPU por amostra'!D725)*100</f>
        <v>12.6392237564677</v>
      </c>
      <c r="E9" s="7">
        <f>MAX('CPU por amostra'!G725:G904)</f>
        <v>36.0534739227126</v>
      </c>
      <c r="F9" s="7">
        <f>AVERAGE(RSS!F77:F94)</f>
        <v>249.538787555556</v>
      </c>
      <c r="G9" s="9">
        <v>136545</v>
      </c>
      <c r="H9" s="7">
        <f>G9*1024/1000000</f>
        <v>139.82208</v>
      </c>
      <c r="I9" s="7">
        <f>'CPU por amostra'!D904-'CPU por amostra'!D725</f>
        <v>196.531056642532</v>
      </c>
      <c r="J9" s="2">
        <f>COUNT('CPU por amostra'!D725:D904)</f>
        <v>180</v>
      </c>
      <c r="K9" s="2" t="s">
        <v>44</v>
      </c>
      <c r="L9" s="2">
        <v>0</v>
      </c>
      <c r="M9" s="2">
        <v>68</v>
      </c>
      <c r="N9" s="10">
        <f>(D9-AVERAGEIF($B$5:$B$10,B9,D$5:D$10))^2</f>
        <v>0.302019114962473</v>
      </c>
      <c r="O9" s="10">
        <f>(F9-AVERAGEIF($B$5:$B$10,B9,F$5:F$10))^2</f>
        <v>9.99319667982547</v>
      </c>
      <c r="P9" s="10">
        <f>(H9-AVERAGEIF($B$5:$B$10,B9,H$5:H$10))^2</f>
        <v>58.9771572365087</v>
      </c>
    </row>
    <row r="10" spans="1:16" x14ac:dyDescent="0.25">
      <c r="A10" s="2">
        <v>6</v>
      </c>
      <c r="B10" s="2" t="s">
        <v>42</v>
      </c>
      <c r="C10" s="2" t="s">
        <v>50</v>
      </c>
      <c r="D10" s="5">
        <f>('CPU por amostra'!F1084-'CPU por amostra'!F905)/'CPU por amostra'!$G$2/('CPU por amostra'!D1084-'CPU por amostra'!D905)*100</f>
        <v>11.4367869771226</v>
      </c>
      <c r="E10" s="7">
        <f>MAX('CPU por amostra'!G905:G1084)</f>
        <v>32.2252066750669</v>
      </c>
      <c r="F10" s="7">
        <f>AVERAGE(RSS!F95:F112)</f>
        <v>243.358378666667</v>
      </c>
      <c r="G10" s="9">
        <v>155319</v>
      </c>
      <c r="H10" s="7">
        <f>G10*1024/1000000</f>
        <v>159.046656</v>
      </c>
      <c r="I10" s="7">
        <f>'CPU por amostra'!D1084-'CPU por amostra'!D905</f>
        <v>196.121515989304</v>
      </c>
      <c r="J10" s="2">
        <f>COUNT('CPU por amostra'!D905:D1084)</f>
        <v>180</v>
      </c>
      <c r="K10" s="2" t="s">
        <v>44</v>
      </c>
      <c r="L10" s="2">
        <v>0</v>
      </c>
      <c r="M10" s="2">
        <v>69</v>
      </c>
      <c r="N10" s="10">
        <f>(D10-AVERAGEIF($B$5:$B$10,B10,D$5:D$10))^2</f>
        <v>0.00261895470163804</v>
      </c>
      <c r="O10" s="10">
        <f>(F10-AVERAGEIF($B$5:$B$10,B10,F$5:F$10))^2</f>
        <v>1.46095389933386</v>
      </c>
      <c r="P10" s="10">
        <f>(H10-AVERAGEIF($B$5:$B$10,B10,H$5:H$10))^2</f>
        <v>102.245640991176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2" max="2" width="7" customWidth="1"/>
    <col min="4" max="4" width="22" customWidth="1"/>
    <col min="5" max="5" width="16" customWidth="1"/>
    <col min="6" max="6" width="18" customWidth="1"/>
    <col min="7" max="7" width="20" customWidth="1"/>
  </cols>
  <sheetData>
    <row r="1" spans="1:1" x14ac:dyDescent="0.25">
      <c r="A1" s="1" t="s">
        <v>51</v>
      </c>
    </row>
    <row r="2" spans="1:7" x14ac:dyDescent="0.25">
      <c r="A2" s="2" t="s">
        <v>52</v>
      </c>
      <c r="F2" s="2" t="s">
        <v>53</v>
      </c>
      <c r="G2" s="2">
        <v>100</v>
      </c>
    </row>
    <row r="4" ht="42" customHeight="1" spans="1:7" x14ac:dyDescent="0.25">
      <c r="A4" s="3" t="s">
        <v>29</v>
      </c>
      <c r="B4" s="3" t="s">
        <v>30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</row>
    <row r="5" spans="1:6" x14ac:dyDescent="0.25">
      <c r="A5" s="2">
        <v>1</v>
      </c>
      <c r="B5" s="2" t="s">
        <v>42</v>
      </c>
      <c r="C5" s="2">
        <v>1</v>
      </c>
      <c r="D5" s="11">
        <v>1791326958.080672</v>
      </c>
      <c r="E5" s="7">
        <f>D5-D5</f>
        <v>0</v>
      </c>
      <c r="F5" s="9">
        <v>813</v>
      </c>
    </row>
    <row r="6" spans="1:7" x14ac:dyDescent="0.25">
      <c r="A6" s="2">
        <v>1</v>
      </c>
      <c r="B6" s="2" t="s">
        <v>42</v>
      </c>
      <c r="C6" s="2">
        <v>2</v>
      </c>
      <c r="D6" s="11">
        <v>1791326959.1564186</v>
      </c>
      <c r="E6" s="7">
        <f>D6-D5</f>
        <v>1.07574653625488</v>
      </c>
      <c r="F6" s="9">
        <v>819</v>
      </c>
      <c r="G6" s="5">
        <f>(F6-F5)/$G$2/(D6-D5)*100</f>
        <v>5.57752202567017</v>
      </c>
    </row>
    <row r="7" spans="1:7" x14ac:dyDescent="0.25">
      <c r="A7" s="2">
        <v>1</v>
      </c>
      <c r="B7" s="2" t="s">
        <v>42</v>
      </c>
      <c r="C7" s="2">
        <v>3</v>
      </c>
      <c r="D7" s="11">
        <v>1791326960.2527277</v>
      </c>
      <c r="E7" s="7">
        <f>D7-D5</f>
        <v>2.17205572128296</v>
      </c>
      <c r="F7" s="9">
        <v>829</v>
      </c>
      <c r="G7" s="5">
        <f>(F7-F6)/$G$2/(D7-D6)*100</f>
        <v>9.12151438350296</v>
      </c>
    </row>
    <row r="8" spans="1:7" x14ac:dyDescent="0.25">
      <c r="A8" s="2">
        <v>1</v>
      </c>
      <c r="B8" s="2" t="s">
        <v>42</v>
      </c>
      <c r="C8" s="2">
        <v>4</v>
      </c>
      <c r="D8" s="11">
        <v>1791326961.3250313</v>
      </c>
      <c r="E8" s="7">
        <f>D8-D5</f>
        <v>3.24435925483704</v>
      </c>
      <c r="F8" s="9">
        <v>836</v>
      </c>
      <c r="G8" s="5">
        <f>(F8-F7)/$G$2/(D8-D7)*100</f>
        <v>6.52800236216603</v>
      </c>
    </row>
    <row r="9" spans="1:7" x14ac:dyDescent="0.25">
      <c r="A9" s="2">
        <v>1</v>
      </c>
      <c r="B9" s="2" t="s">
        <v>42</v>
      </c>
      <c r="C9" s="2">
        <v>5</v>
      </c>
      <c r="D9" s="11">
        <v>1791326962.4054642</v>
      </c>
      <c r="E9" s="7">
        <f>D9-D5</f>
        <v>4.32479214668274</v>
      </c>
      <c r="F9" s="9">
        <v>846</v>
      </c>
      <c r="G9" s="5">
        <f>(F9-F8)/$G$2/(D9-D8)*100</f>
        <v>9.2555493964248</v>
      </c>
    </row>
    <row r="10" spans="1:7" x14ac:dyDescent="0.25">
      <c r="A10" s="2">
        <v>1</v>
      </c>
      <c r="B10" s="2" t="s">
        <v>42</v>
      </c>
      <c r="C10" s="2">
        <v>6</v>
      </c>
      <c r="D10" s="11">
        <v>1791326963.4944143</v>
      </c>
      <c r="E10" s="7">
        <f>D10-D5</f>
        <v>5.41374230384827</v>
      </c>
      <c r="F10" s="9">
        <v>853</v>
      </c>
      <c r="G10" s="5">
        <f>(F10-F9)/$G$2/(D10-D9)*100</f>
        <v>6.42820973387853</v>
      </c>
    </row>
    <row r="11" spans="1:7" x14ac:dyDescent="0.25">
      <c r="A11" s="2">
        <v>1</v>
      </c>
      <c r="B11" s="2" t="s">
        <v>42</v>
      </c>
      <c r="C11" s="2">
        <v>7</v>
      </c>
      <c r="D11" s="11">
        <v>1791326964.5954473</v>
      </c>
      <c r="E11" s="7">
        <f>D11-D5</f>
        <v>6.51477527618408</v>
      </c>
      <c r="F11" s="9">
        <v>864</v>
      </c>
      <c r="G11" s="5">
        <f>(F11-F10)/$G$2/(D11-D10)*100</f>
        <v>9.99061815257336</v>
      </c>
    </row>
    <row r="12" spans="1:7" x14ac:dyDescent="0.25">
      <c r="A12" s="2">
        <v>1</v>
      </c>
      <c r="B12" s="2" t="s">
        <v>42</v>
      </c>
      <c r="C12" s="2">
        <v>8</v>
      </c>
      <c r="D12" s="11">
        <v>1791326965.6897995</v>
      </c>
      <c r="E12" s="7">
        <f>D12-D5</f>
        <v>7.60912752151489</v>
      </c>
      <c r="F12" s="9">
        <v>875</v>
      </c>
      <c r="G12" s="5">
        <f>(F12-F11)/$G$2/(D12-D11)*100</f>
        <v>10.0516081973906</v>
      </c>
    </row>
    <row r="13" spans="1:7" x14ac:dyDescent="0.25">
      <c r="A13" s="2">
        <v>1</v>
      </c>
      <c r="B13" s="2" t="s">
        <v>42</v>
      </c>
      <c r="C13" s="2">
        <v>9</v>
      </c>
      <c r="D13" s="11">
        <v>1791326966.7551825</v>
      </c>
      <c r="E13" s="7">
        <f>D13-D5</f>
        <v>8.67451047897339</v>
      </c>
      <c r="F13" s="9">
        <v>886</v>
      </c>
      <c r="G13" s="5">
        <f>(F13-F12)/$G$2/(D13-D12)*100</f>
        <v>10.3249258146956</v>
      </c>
    </row>
    <row r="14" spans="1:7" x14ac:dyDescent="0.25">
      <c r="A14" s="2">
        <v>1</v>
      </c>
      <c r="B14" s="2" t="s">
        <v>42</v>
      </c>
      <c r="C14" s="2">
        <v>10</v>
      </c>
      <c r="D14" s="11">
        <v>1791326967.8581493</v>
      </c>
      <c r="E14" s="7">
        <f>D14-D5</f>
        <v>9.7774772644043</v>
      </c>
      <c r="F14" s="9">
        <v>897</v>
      </c>
      <c r="G14" s="5">
        <f>(F14-F13)/$G$2/(D14-D13)*100</f>
        <v>9.97310176997081</v>
      </c>
    </row>
    <row r="15" spans="1:7" x14ac:dyDescent="0.25">
      <c r="A15" s="2">
        <v>1</v>
      </c>
      <c r="B15" s="2" t="s">
        <v>42</v>
      </c>
      <c r="C15" s="2">
        <v>11</v>
      </c>
      <c r="D15" s="11">
        <v>1791326968.968878</v>
      </c>
      <c r="E15" s="7">
        <f>D15-D5</f>
        <v>10.8882060050964</v>
      </c>
      <c r="F15" s="9">
        <v>904</v>
      </c>
      <c r="G15" s="5">
        <f>(F15-F14)/$G$2/(D15-D14)*100</f>
        <v>6.30216878662744</v>
      </c>
    </row>
    <row r="16" spans="1:7" x14ac:dyDescent="0.25">
      <c r="A16" s="2">
        <v>1</v>
      </c>
      <c r="B16" s="2" t="s">
        <v>42</v>
      </c>
      <c r="C16" s="2">
        <v>12</v>
      </c>
      <c r="D16" s="11">
        <v>1791326970.0506248</v>
      </c>
      <c r="E16" s="7">
        <f>D16-D5</f>
        <v>11.9699528217316</v>
      </c>
      <c r="F16" s="9">
        <v>925</v>
      </c>
      <c r="G16" s="5">
        <f>(F16-F15)/$G$2/(D16-D15)*100</f>
        <v>19.4130453420906</v>
      </c>
    </row>
    <row r="17" spans="1:7" x14ac:dyDescent="0.25">
      <c r="A17" s="2">
        <v>1</v>
      </c>
      <c r="B17" s="2" t="s">
        <v>42</v>
      </c>
      <c r="C17" s="2">
        <v>13</v>
      </c>
      <c r="D17" s="11">
        <v>1791326971.142698</v>
      </c>
      <c r="E17" s="7">
        <f>D17-D5</f>
        <v>13.0620260238647</v>
      </c>
      <c r="F17" s="9">
        <v>941</v>
      </c>
      <c r="G17" s="5">
        <f>(F17-F16)/$G$2/(D17-D16)*100</f>
        <v>14.6510325212144</v>
      </c>
    </row>
    <row r="18" spans="1:7" x14ac:dyDescent="0.25">
      <c r="A18" s="2">
        <v>1</v>
      </c>
      <c r="B18" s="2" t="s">
        <v>42</v>
      </c>
      <c r="C18" s="2">
        <v>14</v>
      </c>
      <c r="D18" s="11">
        <v>1791326972.243033</v>
      </c>
      <c r="E18" s="7">
        <f>D18-D5</f>
        <v>14.162360906601</v>
      </c>
      <c r="F18" s="9">
        <v>951</v>
      </c>
      <c r="G18" s="5">
        <f>(F18-F17)/$G$2/(D18-D17)*100</f>
        <v>9.08814230730645</v>
      </c>
    </row>
    <row r="19" spans="1:7" x14ac:dyDescent="0.25">
      <c r="A19" s="2">
        <v>1</v>
      </c>
      <c r="B19" s="2" t="s">
        <v>42</v>
      </c>
      <c r="C19" s="2">
        <v>15</v>
      </c>
      <c r="D19" s="11">
        <v>1791326973.3477411</v>
      </c>
      <c r="E19" s="7">
        <f>D19-D5</f>
        <v>15.2670691013336</v>
      </c>
      <c r="F19" s="9">
        <v>961</v>
      </c>
      <c r="G19" s="5">
        <f>(F19-F18)/$G$2/(D19-D18)*100</f>
        <v>9.05216422552197</v>
      </c>
    </row>
    <row r="20" spans="1:7" x14ac:dyDescent="0.25">
      <c r="A20" s="2">
        <v>1</v>
      </c>
      <c r="B20" s="2" t="s">
        <v>42</v>
      </c>
      <c r="C20" s="2">
        <v>16</v>
      </c>
      <c r="D20" s="11">
        <v>1791326974.416301</v>
      </c>
      <c r="E20" s="7">
        <f>D20-D5</f>
        <v>16.3356289863586</v>
      </c>
      <c r="F20" s="9">
        <v>966</v>
      </c>
      <c r="G20" s="5">
        <f>(F20-F19)/$G$2/(D20-D19)*100</f>
        <v>4.67919493335922</v>
      </c>
    </row>
    <row r="21" spans="1:7" x14ac:dyDescent="0.25">
      <c r="A21" s="2">
        <v>1</v>
      </c>
      <c r="B21" s="2" t="s">
        <v>42</v>
      </c>
      <c r="C21" s="2">
        <v>17</v>
      </c>
      <c r="D21" s="11">
        <v>1791326975.491252</v>
      </c>
      <c r="E21" s="7">
        <f>D21-D5</f>
        <v>17.4105799198151</v>
      </c>
      <c r="F21" s="9">
        <v>977</v>
      </c>
      <c r="G21" s="5">
        <f>(F21-F20)/$G$2/(D21-D20)*100</f>
        <v>10.2330252085371</v>
      </c>
    </row>
    <row r="22" spans="1:7" x14ac:dyDescent="0.25">
      <c r="A22" s="2">
        <v>1</v>
      </c>
      <c r="B22" s="2" t="s">
        <v>42</v>
      </c>
      <c r="C22" s="2">
        <v>18</v>
      </c>
      <c r="D22" s="11">
        <v>1791326976.570321</v>
      </c>
      <c r="E22" s="7">
        <f>D22-D5</f>
        <v>18.4896490573883</v>
      </c>
      <c r="F22" s="9">
        <v>988</v>
      </c>
      <c r="G22" s="5">
        <f>(F22-F21)/$G$2/(D22-D21)*100</f>
        <v>10.1939714676099</v>
      </c>
    </row>
    <row r="23" spans="1:7" x14ac:dyDescent="0.25">
      <c r="A23" s="2">
        <v>1</v>
      </c>
      <c r="B23" s="2" t="s">
        <v>42</v>
      </c>
      <c r="C23" s="2">
        <v>19</v>
      </c>
      <c r="D23" s="11">
        <v>1791326977.673389</v>
      </c>
      <c r="E23" s="7">
        <f>D23-D5</f>
        <v>19.5927169322968</v>
      </c>
      <c r="F23" s="9">
        <v>994</v>
      </c>
      <c r="G23" s="5">
        <f>(F23-F22)/$G$2/(D23-D22)*100</f>
        <v>5.43937516129548</v>
      </c>
    </row>
    <row r="24" spans="1:7" x14ac:dyDescent="0.25">
      <c r="A24" s="2">
        <v>1</v>
      </c>
      <c r="B24" s="2" t="s">
        <v>42</v>
      </c>
      <c r="C24" s="2">
        <v>20</v>
      </c>
      <c r="D24" s="11">
        <v>1791326978.7584796</v>
      </c>
      <c r="E24" s="7">
        <f>D24-D5</f>
        <v>20.6778075695038</v>
      </c>
      <c r="F24" s="9">
        <v>1005</v>
      </c>
      <c r="G24" s="5">
        <f>(F24-F23)/$G$2/(D24-D23)*100</f>
        <v>10.1374020038671</v>
      </c>
    </row>
    <row r="25" spans="1:7" x14ac:dyDescent="0.25">
      <c r="A25" s="2">
        <v>1</v>
      </c>
      <c r="B25" s="2" t="s">
        <v>42</v>
      </c>
      <c r="C25" s="2">
        <v>21</v>
      </c>
      <c r="D25" s="11">
        <v>1791326979.857556</v>
      </c>
      <c r="E25" s="7">
        <f>D25-D5</f>
        <v>21.7768840789795</v>
      </c>
      <c r="F25" s="9">
        <v>1015</v>
      </c>
      <c r="G25" s="5">
        <f>(F25-F24)/$G$2/(D25-D24)*100</f>
        <v>9.09854765685994</v>
      </c>
    </row>
    <row r="26" spans="1:7" x14ac:dyDescent="0.25">
      <c r="A26" s="2">
        <v>1</v>
      </c>
      <c r="B26" s="2" t="s">
        <v>42</v>
      </c>
      <c r="C26" s="2">
        <v>22</v>
      </c>
      <c r="D26" s="11">
        <v>1791326980.9418948</v>
      </c>
      <c r="E26" s="7">
        <f>D26-D5</f>
        <v>22.861222743988</v>
      </c>
      <c r="F26" s="9">
        <v>1025</v>
      </c>
      <c r="G26" s="5">
        <f>(F26-F25)/$G$2/(D26-D25)*100</f>
        <v>9.22221103304584</v>
      </c>
    </row>
    <row r="27" spans="1:7" x14ac:dyDescent="0.25">
      <c r="A27" s="2">
        <v>1</v>
      </c>
      <c r="B27" s="2" t="s">
        <v>42</v>
      </c>
      <c r="C27" s="2">
        <v>23</v>
      </c>
      <c r="D27" s="11">
        <v>1791326981.9759223</v>
      </c>
      <c r="E27" s="7">
        <f>D27-D5</f>
        <v>23.8952503204346</v>
      </c>
      <c r="F27" s="9">
        <v>1032</v>
      </c>
      <c r="G27" s="5">
        <f>(F27-F26)/$G$2/(D27-D26)*100</f>
        <v>6.76964537450317</v>
      </c>
    </row>
    <row r="28" spans="1:7" x14ac:dyDescent="0.25">
      <c r="A28" s="2">
        <v>1</v>
      </c>
      <c r="B28" s="2" t="s">
        <v>42</v>
      </c>
      <c r="C28" s="2">
        <v>24</v>
      </c>
      <c r="D28" s="11">
        <v>1791326983.0294154</v>
      </c>
      <c r="E28" s="7">
        <f>D28-D5</f>
        <v>24.9487433433533</v>
      </c>
      <c r="F28" s="9">
        <v>1055</v>
      </c>
      <c r="G28" s="5">
        <f>(F28-F27)/$G$2/(D28-D27)*100</f>
        <v>21.8321331984511</v>
      </c>
    </row>
    <row r="29" spans="1:7" x14ac:dyDescent="0.25">
      <c r="A29" s="2">
        <v>1</v>
      </c>
      <c r="B29" s="2" t="s">
        <v>42</v>
      </c>
      <c r="C29" s="2">
        <v>25</v>
      </c>
      <c r="D29" s="11">
        <v>1791326984.1112514</v>
      </c>
      <c r="E29" s="7">
        <f>D29-D5</f>
        <v>26.030579328537</v>
      </c>
      <c r="F29" s="9">
        <v>1066</v>
      </c>
      <c r="G29" s="5">
        <f>(F29-F28)/$G$2/(D29-D28)*100</f>
        <v>10.1678998948551</v>
      </c>
    </row>
    <row r="30" spans="1:7" x14ac:dyDescent="0.25">
      <c r="A30" s="2">
        <v>1</v>
      </c>
      <c r="B30" s="2" t="s">
        <v>42</v>
      </c>
      <c r="C30" s="2">
        <v>26</v>
      </c>
      <c r="D30" s="11">
        <v>1791326985.2162602</v>
      </c>
      <c r="E30" s="7">
        <f>D30-D5</f>
        <v>27.1355881690979</v>
      </c>
      <c r="F30" s="9">
        <v>1077</v>
      </c>
      <c r="G30" s="5">
        <f>(F30-F29)/$G$2/(D30-D29)*100</f>
        <v>9.95467148879668</v>
      </c>
    </row>
    <row r="31" spans="1:7" x14ac:dyDescent="0.25">
      <c r="A31" s="2">
        <v>1</v>
      </c>
      <c r="B31" s="2" t="s">
        <v>42</v>
      </c>
      <c r="C31" s="2">
        <v>27</v>
      </c>
      <c r="D31" s="11">
        <v>1791326986.320612</v>
      </c>
      <c r="E31" s="7">
        <f>D31-D5</f>
        <v>28.2399399280548</v>
      </c>
      <c r="F31" s="9">
        <v>1087</v>
      </c>
      <c r="G31" s="5">
        <f>(F31-F30)/$G$2/(D31-D30)*100</f>
        <v>9.05508586271939</v>
      </c>
    </row>
    <row r="32" spans="1:7" x14ac:dyDescent="0.25">
      <c r="A32" s="2">
        <v>1</v>
      </c>
      <c r="B32" s="2" t="s">
        <v>42</v>
      </c>
      <c r="C32" s="2">
        <v>28</v>
      </c>
      <c r="D32" s="11">
        <v>1791326987.4067554</v>
      </c>
      <c r="E32" s="7">
        <f>D32-D5</f>
        <v>29.3260834217072</v>
      </c>
      <c r="F32" s="9">
        <v>1095</v>
      </c>
      <c r="G32" s="5">
        <f>(F32-F31)/$G$2/(D32-D31)*100</f>
        <v>7.36550929665714</v>
      </c>
    </row>
    <row r="33" spans="1:7" x14ac:dyDescent="0.25">
      <c r="A33" s="2">
        <v>1</v>
      </c>
      <c r="B33" s="2" t="s">
        <v>42</v>
      </c>
      <c r="C33" s="2">
        <v>29</v>
      </c>
      <c r="D33" s="11">
        <v>1791326988.4645677</v>
      </c>
      <c r="E33" s="7">
        <f>D33-D5</f>
        <v>30.3838956356049</v>
      </c>
      <c r="F33" s="9">
        <v>1106</v>
      </c>
      <c r="G33" s="5">
        <f>(F33-F32)/$G$2/(D33-D32)*100</f>
        <v>10.3988211286278</v>
      </c>
    </row>
    <row r="34" spans="1:7" x14ac:dyDescent="0.25">
      <c r="A34" s="2">
        <v>1</v>
      </c>
      <c r="B34" s="2" t="s">
        <v>42</v>
      </c>
      <c r="C34" s="2">
        <v>30</v>
      </c>
      <c r="D34" s="11">
        <v>1791326989.5781946</v>
      </c>
      <c r="E34" s="7">
        <f>D34-D5</f>
        <v>31.4975225925446</v>
      </c>
      <c r="F34" s="9">
        <v>1119</v>
      </c>
      <c r="G34" s="5">
        <f>(F34-F33)/$G$2/(D34-D33)*100</f>
        <v>11.6735679923955</v>
      </c>
    </row>
    <row r="35" spans="1:7" x14ac:dyDescent="0.25">
      <c r="A35" s="2">
        <v>1</v>
      </c>
      <c r="B35" s="2" t="s">
        <v>42</v>
      </c>
      <c r="C35" s="2">
        <v>31</v>
      </c>
      <c r="D35" s="11">
        <v>1791326990.7230554</v>
      </c>
      <c r="E35" s="7">
        <f>D35-D5</f>
        <v>32.6423833370209</v>
      </c>
      <c r="F35" s="9">
        <v>1131</v>
      </c>
      <c r="G35" s="5">
        <f>(F35-F34)/$G$2/(D35-D34)*100</f>
        <v>10.4816241258137</v>
      </c>
    </row>
    <row r="36" spans="1:7" x14ac:dyDescent="0.25">
      <c r="A36" s="2">
        <v>1</v>
      </c>
      <c r="B36" s="2" t="s">
        <v>42</v>
      </c>
      <c r="C36" s="2">
        <v>32</v>
      </c>
      <c r="D36" s="11">
        <v>1791326991.8290548</v>
      </c>
      <c r="E36" s="7">
        <f>D36-D5</f>
        <v>33.748382806778</v>
      </c>
      <c r="F36" s="9">
        <v>1143</v>
      </c>
      <c r="G36" s="5">
        <f>(F36-F35)/$G$2/(D36-D35)*100</f>
        <v>10.8499147857961</v>
      </c>
    </row>
    <row r="37" spans="1:7" x14ac:dyDescent="0.25">
      <c r="A37" s="2">
        <v>1</v>
      </c>
      <c r="B37" s="2" t="s">
        <v>42</v>
      </c>
      <c r="C37" s="2">
        <v>33</v>
      </c>
      <c r="D37" s="11">
        <v>1791326992.9350722</v>
      </c>
      <c r="E37" s="7">
        <f>D37-D5</f>
        <v>34.8544001579285</v>
      </c>
      <c r="F37" s="9">
        <v>1154</v>
      </c>
      <c r="G37" s="5">
        <f>(F37-F36)/$G$2/(D37-D36)*100</f>
        <v>9.94559442359333</v>
      </c>
    </row>
    <row r="38" spans="1:7" x14ac:dyDescent="0.25">
      <c r="A38" s="2">
        <v>1</v>
      </c>
      <c r="B38" s="2" t="s">
        <v>42</v>
      </c>
      <c r="C38" s="2">
        <v>34</v>
      </c>
      <c r="D38" s="11">
        <v>1791326994.026792</v>
      </c>
      <c r="E38" s="7">
        <f>D38-D5</f>
        <v>35.9461200237274</v>
      </c>
      <c r="F38" s="9">
        <v>1173</v>
      </c>
      <c r="G38" s="5">
        <f>(F38-F37)/$G$2/(D38-D37)*100</f>
        <v>17.4037320334876</v>
      </c>
    </row>
    <row r="39" spans="1:7" x14ac:dyDescent="0.25">
      <c r="A39" s="2">
        <v>1</v>
      </c>
      <c r="B39" s="2" t="s">
        <v>42</v>
      </c>
      <c r="C39" s="2">
        <v>35</v>
      </c>
      <c r="D39" s="11">
        <v>1791326995.0885417</v>
      </c>
      <c r="E39" s="7">
        <f>D39-D5</f>
        <v>37.007869720459</v>
      </c>
      <c r="F39" s="9">
        <v>1190</v>
      </c>
      <c r="G39" s="5">
        <f>(F39-F38)/$G$2/(D39-D38)*100</f>
        <v>16.0113066689182</v>
      </c>
    </row>
    <row r="40" spans="1:7" x14ac:dyDescent="0.25">
      <c r="A40" s="2">
        <v>1</v>
      </c>
      <c r="B40" s="2" t="s">
        <v>42</v>
      </c>
      <c r="C40" s="2">
        <v>36</v>
      </c>
      <c r="D40" s="11">
        <v>1791326996.1703851</v>
      </c>
      <c r="E40" s="7">
        <f>D40-D5</f>
        <v>38.0897130966187</v>
      </c>
      <c r="F40" s="9">
        <v>1202</v>
      </c>
      <c r="G40" s="5">
        <f>(F40-F39)/$G$2/(D40-D39)*100</f>
        <v>11.0921786502938</v>
      </c>
    </row>
    <row r="41" spans="1:7" x14ac:dyDescent="0.25">
      <c r="A41" s="2">
        <v>1</v>
      </c>
      <c r="B41" s="2" t="s">
        <v>42</v>
      </c>
      <c r="C41" s="2">
        <v>37</v>
      </c>
      <c r="D41" s="11">
        <v>1791326997.2720668</v>
      </c>
      <c r="E41" s="7">
        <f>D41-D5</f>
        <v>39.1913948059082</v>
      </c>
      <c r="F41" s="9">
        <v>1213</v>
      </c>
      <c r="G41" s="5">
        <f>(F41-F40)/$G$2/(D41-D40)*100</f>
        <v>9.98473507116102</v>
      </c>
    </row>
    <row r="42" spans="1:7" x14ac:dyDescent="0.25">
      <c r="A42" s="2">
        <v>1</v>
      </c>
      <c r="B42" s="2" t="s">
        <v>42</v>
      </c>
      <c r="C42" s="2">
        <v>38</v>
      </c>
      <c r="D42" s="11">
        <v>1791326998.3647127</v>
      </c>
      <c r="E42" s="7">
        <f>D42-D5</f>
        <v>40.2840406894684</v>
      </c>
      <c r="F42" s="9">
        <v>1225</v>
      </c>
      <c r="G42" s="5">
        <f>(F42-F41)/$G$2/(D42-D41)*100</f>
        <v>10.9825151776532</v>
      </c>
    </row>
    <row r="43" spans="1:7" x14ac:dyDescent="0.25">
      <c r="A43" s="2">
        <v>1</v>
      </c>
      <c r="B43" s="2" t="s">
        <v>42</v>
      </c>
      <c r="C43" s="2">
        <v>39</v>
      </c>
      <c r="D43" s="11">
        <v>1791326999.4720502</v>
      </c>
      <c r="E43" s="7">
        <f>D43-D5</f>
        <v>41.3913781642914</v>
      </c>
      <c r="F43" s="9">
        <v>1237</v>
      </c>
      <c r="G43" s="5">
        <f>(F43-F42)/$G$2/(D43-D42)*100</f>
        <v>10.8368047436651</v>
      </c>
    </row>
    <row r="44" spans="1:7" x14ac:dyDescent="0.25">
      <c r="A44" s="2">
        <v>1</v>
      </c>
      <c r="B44" s="2" t="s">
        <v>42</v>
      </c>
      <c r="C44" s="2">
        <v>40</v>
      </c>
      <c r="D44" s="11">
        <v>1791327000.5744638</v>
      </c>
      <c r="E44" s="7">
        <f>D44-D5</f>
        <v>42.4937918186188</v>
      </c>
      <c r="F44" s="9">
        <v>1249</v>
      </c>
      <c r="G44" s="5">
        <f>(F44-F43)/$G$2/(D44-D43)*100</f>
        <v>10.8852062498459</v>
      </c>
    </row>
    <row r="45" spans="1:7" x14ac:dyDescent="0.25">
      <c r="A45" s="2">
        <v>1</v>
      </c>
      <c r="B45" s="2" t="s">
        <v>42</v>
      </c>
      <c r="C45" s="2">
        <v>41</v>
      </c>
      <c r="D45" s="11">
        <v>1791327001.666503</v>
      </c>
      <c r="E45" s="7">
        <f>D45-D5</f>
        <v>43.5858309268951</v>
      </c>
      <c r="F45" s="9">
        <v>1262</v>
      </c>
      <c r="G45" s="5">
        <f>(F45-F44)/$G$2/(D45-D44)*100</f>
        <v>11.9043355695555</v>
      </c>
    </row>
    <row r="46" spans="1:7" x14ac:dyDescent="0.25">
      <c r="A46" s="2">
        <v>1</v>
      </c>
      <c r="B46" s="2" t="s">
        <v>42</v>
      </c>
      <c r="C46" s="2">
        <v>42</v>
      </c>
      <c r="D46" s="11">
        <v>1791327002.7709963</v>
      </c>
      <c r="E46" s="7">
        <f>D46-D5</f>
        <v>44.690324306488</v>
      </c>
      <c r="F46" s="9">
        <v>1273</v>
      </c>
      <c r="G46" s="5">
        <f>(F46-F45)/$G$2/(D46-D45)*100</f>
        <v>9.95931727907186</v>
      </c>
    </row>
    <row r="47" spans="1:7" x14ac:dyDescent="0.25">
      <c r="A47" s="2">
        <v>1</v>
      </c>
      <c r="B47" s="2" t="s">
        <v>42</v>
      </c>
      <c r="C47" s="2">
        <v>43</v>
      </c>
      <c r="D47" s="11">
        <v>1791327003.874985</v>
      </c>
      <c r="E47" s="7">
        <f>D47-D5</f>
        <v>45.794312953949</v>
      </c>
      <c r="F47" s="9">
        <v>1286</v>
      </c>
      <c r="G47" s="5">
        <f>(F47-F46)/$G$2/(D47-D46)*100</f>
        <v>11.7754834072784</v>
      </c>
    </row>
    <row r="48" spans="1:7" x14ac:dyDescent="0.25">
      <c r="A48" s="2">
        <v>1</v>
      </c>
      <c r="B48" s="2" t="s">
        <v>42</v>
      </c>
      <c r="C48" s="2">
        <v>44</v>
      </c>
      <c r="D48" s="11">
        <v>1791327004.969707</v>
      </c>
      <c r="E48" s="7">
        <f>D48-D5</f>
        <v>46.889034986496</v>
      </c>
      <c r="F48" s="9">
        <v>1298</v>
      </c>
      <c r="G48" s="5">
        <f>(F48-F47)/$G$2/(D48-D47)*100</f>
        <v>10.9616867508189</v>
      </c>
    </row>
    <row r="49" spans="1:7" x14ac:dyDescent="0.25">
      <c r="A49" s="2">
        <v>1</v>
      </c>
      <c r="B49" s="2" t="s">
        <v>42</v>
      </c>
      <c r="C49" s="2">
        <v>45</v>
      </c>
      <c r="D49" s="11">
        <v>1791327006.0754526</v>
      </c>
      <c r="E49" s="7">
        <f>D49-D5</f>
        <v>47.9947805404663</v>
      </c>
      <c r="F49" s="9">
        <v>1325</v>
      </c>
      <c r="G49" s="5">
        <f>(F49-F48)/$G$2/(D49-D48)*100</f>
        <v>24.4179141422298</v>
      </c>
    </row>
    <row r="50" spans="1:7" x14ac:dyDescent="0.25">
      <c r="A50" s="2">
        <v>1</v>
      </c>
      <c r="B50" s="2" t="s">
        <v>42</v>
      </c>
      <c r="C50" s="2">
        <v>46</v>
      </c>
      <c r="D50" s="11">
        <v>1791327007.1528475</v>
      </c>
      <c r="E50" s="7">
        <f>D50-D5</f>
        <v>49.0721755027771</v>
      </c>
      <c r="F50" s="9">
        <v>1340</v>
      </c>
      <c r="G50" s="5">
        <f>(F50-F49)/$G$2/(D50-D49)*100</f>
        <v>13.9224708901813</v>
      </c>
    </row>
    <row r="51" spans="1:7" x14ac:dyDescent="0.25">
      <c r="A51" s="2">
        <v>1</v>
      </c>
      <c r="B51" s="2" t="s">
        <v>42</v>
      </c>
      <c r="C51" s="2">
        <v>47</v>
      </c>
      <c r="D51" s="11">
        <v>1791327008.2619023</v>
      </c>
      <c r="E51" s="7">
        <f>D51-D5</f>
        <v>50.1812303066254</v>
      </c>
      <c r="F51" s="9">
        <v>1352</v>
      </c>
      <c r="G51" s="5">
        <f>(F51-F50)/$G$2/(D51-D50)*100</f>
        <v>10.8200243652177</v>
      </c>
    </row>
    <row r="52" spans="1:7" x14ac:dyDescent="0.25">
      <c r="A52" s="2">
        <v>1</v>
      </c>
      <c r="B52" s="2" t="s">
        <v>42</v>
      </c>
      <c r="C52" s="2">
        <v>48</v>
      </c>
      <c r="D52" s="11">
        <v>1791327009.3676908</v>
      </c>
      <c r="E52" s="7">
        <f>D52-D5</f>
        <v>51.2870187759399</v>
      </c>
      <c r="F52" s="9">
        <v>1361</v>
      </c>
      <c r="G52" s="5">
        <f>(F52-F51)/$G$2/(D52-D51)*100</f>
        <v>8.13898882991488</v>
      </c>
    </row>
    <row r="53" spans="1:7" x14ac:dyDescent="0.25">
      <c r="A53" s="2">
        <v>1</v>
      </c>
      <c r="B53" s="2" t="s">
        <v>42</v>
      </c>
      <c r="C53" s="2">
        <v>49</v>
      </c>
      <c r="D53" s="11">
        <v>1791327010.4483232</v>
      </c>
      <c r="E53" s="7">
        <f>D53-D5</f>
        <v>52.3676512241364</v>
      </c>
      <c r="F53" s="9">
        <v>1373</v>
      </c>
      <c r="G53" s="5">
        <f>(F53-F52)/$G$2/(D53-D52)*100</f>
        <v>11.1046082505001</v>
      </c>
    </row>
    <row r="54" spans="1:7" x14ac:dyDescent="0.25">
      <c r="A54" s="2">
        <v>1</v>
      </c>
      <c r="B54" s="2" t="s">
        <v>42</v>
      </c>
      <c r="C54" s="2">
        <v>50</v>
      </c>
      <c r="D54" s="11">
        <v>1791327011.5488353</v>
      </c>
      <c r="E54" s="7">
        <f>D54-D5</f>
        <v>53.4681632518768</v>
      </c>
      <c r="F54" s="9">
        <v>1385</v>
      </c>
      <c r="G54" s="5">
        <f>(F54-F53)/$G$2/(D54-D53)*100</f>
        <v>10.9040153106167</v>
      </c>
    </row>
    <row r="55" spans="1:7" x14ac:dyDescent="0.25">
      <c r="A55" s="2">
        <v>1</v>
      </c>
      <c r="B55" s="2" t="s">
        <v>42</v>
      </c>
      <c r="C55" s="2">
        <v>51</v>
      </c>
      <c r="D55" s="11">
        <v>1791327012.6637337</v>
      </c>
      <c r="E55" s="7">
        <f>D55-D5</f>
        <v>54.5830616950989</v>
      </c>
      <c r="F55" s="9">
        <v>1397</v>
      </c>
      <c r="G55" s="5">
        <f>(F55-F54)/$G$2/(D55-D54)*100</f>
        <v>10.7633121859244</v>
      </c>
    </row>
    <row r="56" spans="1:7" x14ac:dyDescent="0.25">
      <c r="A56" s="2">
        <v>1</v>
      </c>
      <c r="B56" s="2" t="s">
        <v>42</v>
      </c>
      <c r="C56" s="2">
        <v>52</v>
      </c>
      <c r="D56" s="11">
        <v>1791327013.7480154</v>
      </c>
      <c r="E56" s="7">
        <f>D56-D5</f>
        <v>55.667343378067</v>
      </c>
      <c r="F56" s="9">
        <v>1409</v>
      </c>
      <c r="G56" s="5">
        <f>(F56-F55)/$G$2/(D56-D55)*100</f>
        <v>11.0672348232896</v>
      </c>
    </row>
    <row r="57" spans="1:7" x14ac:dyDescent="0.25">
      <c r="A57" s="2">
        <v>1</v>
      </c>
      <c r="B57" s="2" t="s">
        <v>42</v>
      </c>
      <c r="C57" s="2">
        <v>53</v>
      </c>
      <c r="D57" s="11">
        <v>1791327014.8352313</v>
      </c>
      <c r="E57" s="7">
        <f>D57-D5</f>
        <v>56.7545592784882</v>
      </c>
      <c r="F57" s="9">
        <v>1420</v>
      </c>
      <c r="G57" s="5">
        <f>(F57-F56)/$G$2/(D57-D56)*100</f>
        <v>10.1175856568498</v>
      </c>
    </row>
    <row r="58" spans="1:7" x14ac:dyDescent="0.25">
      <c r="A58" s="2">
        <v>1</v>
      </c>
      <c r="B58" s="2" t="s">
        <v>42</v>
      </c>
      <c r="C58" s="2">
        <v>54</v>
      </c>
      <c r="D58" s="11">
        <v>1791327015.9022179</v>
      </c>
      <c r="E58" s="7">
        <f>D58-D5</f>
        <v>57.8215458393097</v>
      </c>
      <c r="F58" s="9">
        <v>1431</v>
      </c>
      <c r="G58" s="5">
        <f>(F58-F57)/$G$2/(D58-D57)*100</f>
        <v>10.3094082005405</v>
      </c>
    </row>
    <row r="59" spans="1:7" x14ac:dyDescent="0.25">
      <c r="A59" s="2">
        <v>1</v>
      </c>
      <c r="B59" s="2" t="s">
        <v>42</v>
      </c>
      <c r="C59" s="2">
        <v>55</v>
      </c>
      <c r="D59" s="11">
        <v>1791327017.0023913</v>
      </c>
      <c r="E59" s="7">
        <f>D59-D5</f>
        <v>58.9217193126679</v>
      </c>
      <c r="F59" s="9">
        <v>1444</v>
      </c>
      <c r="G59" s="5">
        <f>(F59-F58)/$G$2/(D59-D58)*100</f>
        <v>11.8163183487046</v>
      </c>
    </row>
    <row r="60" spans="1:7" x14ac:dyDescent="0.25">
      <c r="A60" s="2">
        <v>1</v>
      </c>
      <c r="B60" s="2" t="s">
        <v>42</v>
      </c>
      <c r="C60" s="2">
        <v>56</v>
      </c>
      <c r="D60" s="11">
        <v>1791327018.100228</v>
      </c>
      <c r="E60" s="7">
        <f>D60-D5</f>
        <v>60.0195560455322</v>
      </c>
      <c r="F60" s="9">
        <v>1472</v>
      </c>
      <c r="G60" s="5">
        <f>(F60-F59)/$G$2/(D60-D59)*100</f>
        <v>25.5047031692453</v>
      </c>
    </row>
    <row r="61" spans="1:7" x14ac:dyDescent="0.25">
      <c r="A61" s="2">
        <v>1</v>
      </c>
      <c r="B61" s="2" t="s">
        <v>42</v>
      </c>
      <c r="C61" s="2">
        <v>57</v>
      </c>
      <c r="D61" s="11">
        <v>1791327019.201308</v>
      </c>
      <c r="E61" s="7">
        <f>D61-D5</f>
        <v>61.1206359863281</v>
      </c>
      <c r="F61" s="9">
        <v>1485</v>
      </c>
      <c r="G61" s="5">
        <f>(F61-F60)/$G$2/(D61-D60)*100</f>
        <v>11.806590528389</v>
      </c>
    </row>
    <row r="62" spans="1:7" x14ac:dyDescent="0.25">
      <c r="A62" s="2">
        <v>1</v>
      </c>
      <c r="B62" s="2" t="s">
        <v>42</v>
      </c>
      <c r="C62" s="2">
        <v>58</v>
      </c>
      <c r="D62" s="11">
        <v>1791327020.3019812</v>
      </c>
      <c r="E62" s="7">
        <f>D62-D5</f>
        <v>62.2213091850281</v>
      </c>
      <c r="F62" s="9">
        <v>1497</v>
      </c>
      <c r="G62" s="5">
        <f>(F62-F61)/$G$2/(D62-D61)*100</f>
        <v>10.9024186417673</v>
      </c>
    </row>
    <row r="63" spans="1:7" x14ac:dyDescent="0.25">
      <c r="A63" s="2">
        <v>1</v>
      </c>
      <c r="B63" s="2" t="s">
        <v>42</v>
      </c>
      <c r="C63" s="2">
        <v>59</v>
      </c>
      <c r="D63" s="11">
        <v>1791327021.382467</v>
      </c>
      <c r="E63" s="7">
        <f>D63-D5</f>
        <v>63.3017950057983</v>
      </c>
      <c r="F63" s="9">
        <v>1509</v>
      </c>
      <c r="G63" s="5">
        <f>(F63-F62)/$G$2/(D63-D62)*100</f>
        <v>11.1061152023683</v>
      </c>
    </row>
    <row r="64" spans="1:7" x14ac:dyDescent="0.25">
      <c r="A64" s="2">
        <v>1</v>
      </c>
      <c r="B64" s="2" t="s">
        <v>42</v>
      </c>
      <c r="C64" s="2">
        <v>60</v>
      </c>
      <c r="D64" s="11">
        <v>1791327022.4651375</v>
      </c>
      <c r="E64" s="7">
        <f>D64-D5</f>
        <v>64.3844654560089</v>
      </c>
      <c r="F64" s="9">
        <v>1520</v>
      </c>
      <c r="G64" s="5">
        <f>(F64-F63)/$G$2/(D64-D63)*100</f>
        <v>10.1600630162766</v>
      </c>
    </row>
    <row r="65" spans="1:7" x14ac:dyDescent="0.25">
      <c r="A65" s="2">
        <v>1</v>
      </c>
      <c r="B65" s="2" t="s">
        <v>42</v>
      </c>
      <c r="C65" s="2">
        <v>61</v>
      </c>
      <c r="D65" s="11">
        <v>1791327023.599493</v>
      </c>
      <c r="E65" s="7">
        <f>D65-D5</f>
        <v>65.5188210010529</v>
      </c>
      <c r="F65" s="9">
        <v>1532</v>
      </c>
      <c r="G65" s="5">
        <f>(F65-F64)/$G$2/(D65-D64)*100</f>
        <v>10.5786938252549</v>
      </c>
    </row>
    <row r="66" spans="1:7" x14ac:dyDescent="0.25">
      <c r="A66" s="2">
        <v>1</v>
      </c>
      <c r="B66" s="2" t="s">
        <v>42</v>
      </c>
      <c r="C66" s="2">
        <v>62</v>
      </c>
      <c r="D66" s="11">
        <v>1791327024.678575</v>
      </c>
      <c r="E66" s="7">
        <f>D66-D5</f>
        <v>66.5979030132294</v>
      </c>
      <c r="F66" s="9">
        <v>1543</v>
      </c>
      <c r="G66" s="5">
        <f>(F66-F65)/$G$2/(D66-D65)*100</f>
        <v>10.1938498426203</v>
      </c>
    </row>
    <row r="67" spans="1:7" x14ac:dyDescent="0.25">
      <c r="A67" s="2">
        <v>1</v>
      </c>
      <c r="B67" s="2" t="s">
        <v>42</v>
      </c>
      <c r="C67" s="2">
        <v>63</v>
      </c>
      <c r="D67" s="11">
        <v>1791327025.7858133</v>
      </c>
      <c r="E67" s="7">
        <f>D67-D5</f>
        <v>67.7051413059235</v>
      </c>
      <c r="F67" s="9">
        <v>1555</v>
      </c>
      <c r="G67" s="5">
        <f>(F67-F66)/$G$2/(D67-D66)*100</f>
        <v>10.8377754627706</v>
      </c>
    </row>
    <row r="68" spans="1:7" x14ac:dyDescent="0.25">
      <c r="A68" s="2">
        <v>1</v>
      </c>
      <c r="B68" s="2" t="s">
        <v>42</v>
      </c>
      <c r="C68" s="2">
        <v>64</v>
      </c>
      <c r="D68" s="11">
        <v>1791327026.8653686</v>
      </c>
      <c r="E68" s="7">
        <f>D68-D5</f>
        <v>68.7846965789795</v>
      </c>
      <c r="F68" s="9">
        <v>1567</v>
      </c>
      <c r="G68" s="5">
        <f>(F68-F67)/$G$2/(D68-D67)*100</f>
        <v>11.1156883760385</v>
      </c>
    </row>
    <row r="69" spans="1:7" x14ac:dyDescent="0.25">
      <c r="A69" s="2">
        <v>1</v>
      </c>
      <c r="B69" s="2" t="s">
        <v>42</v>
      </c>
      <c r="C69" s="2">
        <v>65</v>
      </c>
      <c r="D69" s="11">
        <v>1791327027.965183</v>
      </c>
      <c r="E69" s="7">
        <f>D69-D5</f>
        <v>69.8845109939575</v>
      </c>
      <c r="F69" s="9">
        <v>1577</v>
      </c>
      <c r="G69" s="5">
        <f>(F69-F68)/$G$2/(D69-D68)*100</f>
        <v>9.09244311023127</v>
      </c>
    </row>
    <row r="70" spans="1:7" x14ac:dyDescent="0.25">
      <c r="A70" s="2">
        <v>1</v>
      </c>
      <c r="B70" s="2" t="s">
        <v>42</v>
      </c>
      <c r="C70" s="2">
        <v>66</v>
      </c>
      <c r="D70" s="11">
        <v>1791327029.0670433</v>
      </c>
      <c r="E70" s="7">
        <f>D70-D5</f>
        <v>70.9863712787628</v>
      </c>
      <c r="F70" s="9">
        <v>1589</v>
      </c>
      <c r="G70" s="5">
        <f>(F70-F69)/$G$2/(D70-D69)*100</f>
        <v>10.8906729514445</v>
      </c>
    </row>
    <row r="71" spans="1:7" x14ac:dyDescent="0.25">
      <c r="A71" s="2">
        <v>1</v>
      </c>
      <c r="B71" s="2" t="s">
        <v>42</v>
      </c>
      <c r="C71" s="2">
        <v>67</v>
      </c>
      <c r="D71" s="11">
        <v>1791327030.158548</v>
      </c>
      <c r="E71" s="7">
        <f>D71-D5</f>
        <v>72.0778760910034</v>
      </c>
      <c r="F71" s="9">
        <v>1615</v>
      </c>
      <c r="G71" s="5">
        <f>(F71-F70)/$G$2/(D71-D70)*100</f>
        <v>23.8203255802676</v>
      </c>
    </row>
    <row r="72" spans="1:7" x14ac:dyDescent="0.25">
      <c r="A72" s="2">
        <v>1</v>
      </c>
      <c r="B72" s="2" t="s">
        <v>42</v>
      </c>
      <c r="C72" s="2">
        <v>68</v>
      </c>
      <c r="D72" s="11">
        <v>1791327031.2578478</v>
      </c>
      <c r="E72" s="7">
        <f>D72-D5</f>
        <v>73.1771757602692</v>
      </c>
      <c r="F72" s="9">
        <v>1625</v>
      </c>
      <c r="G72" s="5">
        <f>(F72-F71)/$G$2/(D72-D71)*100</f>
        <v>9.09670063548667</v>
      </c>
    </row>
    <row r="73" spans="1:7" x14ac:dyDescent="0.25">
      <c r="A73" s="2">
        <v>1</v>
      </c>
      <c r="B73" s="2" t="s">
        <v>42</v>
      </c>
      <c r="C73" s="2">
        <v>69</v>
      </c>
      <c r="D73" s="11">
        <v>1791327032.3419209</v>
      </c>
      <c r="E73" s="7">
        <f>D73-D5</f>
        <v>74.2612488269806</v>
      </c>
      <c r="F73" s="9">
        <v>1636</v>
      </c>
      <c r="G73" s="5">
        <f>(F73-F72)/$G$2/(D73-D72)*100</f>
        <v>10.1469175259274</v>
      </c>
    </row>
    <row r="74" spans="1:7" x14ac:dyDescent="0.25">
      <c r="A74" s="2">
        <v>1</v>
      </c>
      <c r="B74" s="2" t="s">
        <v>42</v>
      </c>
      <c r="C74" s="2">
        <v>70</v>
      </c>
      <c r="D74" s="11">
        <v>1791327033.4469972</v>
      </c>
      <c r="E74" s="7">
        <f>D74-D5</f>
        <v>75.3663251399994</v>
      </c>
      <c r="F74" s="9">
        <v>1648</v>
      </c>
      <c r="G74" s="5">
        <f>(F74-F73)/$G$2/(D74-D73)*100</f>
        <v>10.8589785688365</v>
      </c>
    </row>
    <row r="75" spans="1:7" x14ac:dyDescent="0.25">
      <c r="A75" s="2">
        <v>1</v>
      </c>
      <c r="B75" s="2" t="s">
        <v>42</v>
      </c>
      <c r="C75" s="2">
        <v>71</v>
      </c>
      <c r="D75" s="11">
        <v>1791327034.5388517</v>
      </c>
      <c r="E75" s="7">
        <f>D75-D5</f>
        <v>76.4581797122955</v>
      </c>
      <c r="F75" s="9">
        <v>1659</v>
      </c>
      <c r="G75" s="5">
        <f>(F75-F74)/$G$2/(D75-D74)*100</f>
        <v>10.0746017639211</v>
      </c>
    </row>
    <row r="76" spans="1:7" x14ac:dyDescent="0.25">
      <c r="A76" s="2">
        <v>1</v>
      </c>
      <c r="B76" s="2" t="s">
        <v>42</v>
      </c>
      <c r="C76" s="2">
        <v>72</v>
      </c>
      <c r="D76" s="11">
        <v>1791327035.6007962</v>
      </c>
      <c r="E76" s="7">
        <f>D76-D5</f>
        <v>77.5201241970062</v>
      </c>
      <c r="F76" s="9">
        <v>1671</v>
      </c>
      <c r="G76" s="5">
        <f>(F76-F75)/$G$2/(D76-D75)*100</f>
        <v>11.3000257289995</v>
      </c>
    </row>
    <row r="77" spans="1:7" x14ac:dyDescent="0.25">
      <c r="A77" s="2">
        <v>1</v>
      </c>
      <c r="B77" s="2" t="s">
        <v>42</v>
      </c>
      <c r="C77" s="2">
        <v>73</v>
      </c>
      <c r="D77" s="11">
        <v>1791327036.6664202</v>
      </c>
      <c r="E77" s="7">
        <f>D77-D5</f>
        <v>78.5857481956482</v>
      </c>
      <c r="F77" s="9">
        <v>1681</v>
      </c>
      <c r="G77" s="5">
        <f>(F77-F76)/$G$2/(D77-D76)*100</f>
        <v>9.38417304109518</v>
      </c>
    </row>
    <row r="78" spans="1:7" x14ac:dyDescent="0.25">
      <c r="A78" s="2">
        <v>1</v>
      </c>
      <c r="B78" s="2" t="s">
        <v>42</v>
      </c>
      <c r="C78" s="2">
        <v>74</v>
      </c>
      <c r="D78" s="11">
        <v>1791327037.7248006</v>
      </c>
      <c r="E78" s="7">
        <f>D78-D5</f>
        <v>79.6441285610199</v>
      </c>
      <c r="F78" s="9">
        <v>1690</v>
      </c>
      <c r="G78" s="5">
        <f>(F78-F77)/$G$2/(D78-D77)*100</f>
        <v>8.50355911207706</v>
      </c>
    </row>
    <row r="79" spans="1:7" x14ac:dyDescent="0.25">
      <c r="A79" s="2">
        <v>1</v>
      </c>
      <c r="B79" s="2" t="s">
        <v>42</v>
      </c>
      <c r="C79" s="2">
        <v>75</v>
      </c>
      <c r="D79" s="11">
        <v>1791327038.8280687</v>
      </c>
      <c r="E79" s="7">
        <f>D79-D5</f>
        <v>80.7473967075348</v>
      </c>
      <c r="F79" s="9">
        <v>1702</v>
      </c>
      <c r="G79" s="5">
        <f>(F79-F78)/$G$2/(D79-D78)*100</f>
        <v>10.8767755489966</v>
      </c>
    </row>
    <row r="80" spans="1:7" x14ac:dyDescent="0.25">
      <c r="A80" s="2">
        <v>1</v>
      </c>
      <c r="B80" s="2" t="s">
        <v>42</v>
      </c>
      <c r="C80" s="2">
        <v>76</v>
      </c>
      <c r="D80" s="11">
        <v>1791327039.9052408</v>
      </c>
      <c r="E80" s="7">
        <f>D80-D5</f>
        <v>81.8245687484741</v>
      </c>
      <c r="F80" s="9">
        <v>1714</v>
      </c>
      <c r="G80" s="5">
        <f>(F80-F79)/$G$2/(D80-D79)*100</f>
        <v>11.1402817228115</v>
      </c>
    </row>
    <row r="81" spans="1:7" x14ac:dyDescent="0.25">
      <c r="A81" s="2">
        <v>1</v>
      </c>
      <c r="B81" s="2" t="s">
        <v>42</v>
      </c>
      <c r="C81" s="2">
        <v>77</v>
      </c>
      <c r="D81" s="11">
        <v>1791327041.0050642</v>
      </c>
      <c r="E81" s="7">
        <f>D81-D5</f>
        <v>82.9243922233582</v>
      </c>
      <c r="F81" s="9">
        <v>1725</v>
      </c>
      <c r="G81" s="5">
        <f>(F81-F80)/$G$2/(D81-D80)*100</f>
        <v>10.0016050313527</v>
      </c>
    </row>
    <row r="82" spans="1:7" x14ac:dyDescent="0.25">
      <c r="A82" s="2">
        <v>1</v>
      </c>
      <c r="B82" s="2" t="s">
        <v>42</v>
      </c>
      <c r="C82" s="2">
        <v>78</v>
      </c>
      <c r="D82" s="11">
        <v>1791327042.1091647</v>
      </c>
      <c r="E82" s="7">
        <f>D82-D5</f>
        <v>84.0284926891327</v>
      </c>
      <c r="F82" s="9">
        <v>1756</v>
      </c>
      <c r="G82" s="5">
        <f>(F82-F81)/$G$2/(D82-D81)*100</f>
        <v>28.077155078685</v>
      </c>
    </row>
    <row r="83" spans="1:7" x14ac:dyDescent="0.25">
      <c r="A83" s="2">
        <v>1</v>
      </c>
      <c r="B83" s="2" t="s">
        <v>42</v>
      </c>
      <c r="C83" s="2">
        <v>79</v>
      </c>
      <c r="D83" s="11">
        <v>1791327043.2352843</v>
      </c>
      <c r="E83" s="7">
        <f>D83-D5</f>
        <v>85.1546123027802</v>
      </c>
      <c r="F83" s="9">
        <v>1767</v>
      </c>
      <c r="G83" s="5">
        <f>(F83-F82)/$G$2/(D83-D82)*100</f>
        <v>9.76805648946242</v>
      </c>
    </row>
    <row r="84" spans="1:7" x14ac:dyDescent="0.25">
      <c r="A84" s="2">
        <v>1</v>
      </c>
      <c r="B84" s="2" t="s">
        <v>42</v>
      </c>
      <c r="C84" s="2">
        <v>80</v>
      </c>
      <c r="D84" s="11">
        <v>1791327044.3367198</v>
      </c>
      <c r="E84" s="7">
        <f>D84-D5</f>
        <v>86.2560477256775</v>
      </c>
      <c r="F84" s="9">
        <v>1779</v>
      </c>
      <c r="G84" s="5">
        <f>(F84-F83)/$G$2/(D84-D83)*100</f>
        <v>10.8948738623585</v>
      </c>
    </row>
    <row r="85" spans="1:7" x14ac:dyDescent="0.25">
      <c r="A85" s="2">
        <v>1</v>
      </c>
      <c r="B85" s="2" t="s">
        <v>42</v>
      </c>
      <c r="C85" s="2">
        <v>81</v>
      </c>
      <c r="D85" s="11">
        <v>1791327045.4719858</v>
      </c>
      <c r="E85" s="7">
        <f>D85-D5</f>
        <v>87.391313791275</v>
      </c>
      <c r="F85" s="9">
        <v>1785</v>
      </c>
      <c r="G85" s="5">
        <f>(F85-F84)/$G$2/(D85-D84)*100</f>
        <v>5.28510468322857</v>
      </c>
    </row>
    <row r="86" spans="1:7" x14ac:dyDescent="0.25">
      <c r="A86" s="2">
        <v>1</v>
      </c>
      <c r="B86" s="2" t="s">
        <v>42</v>
      </c>
      <c r="C86" s="2">
        <v>82</v>
      </c>
      <c r="D86" s="11">
        <v>1791327046.575498</v>
      </c>
      <c r="E86" s="7">
        <f>D86-D5</f>
        <v>88.4948260784149</v>
      </c>
      <c r="F86" s="9">
        <v>1797</v>
      </c>
      <c r="G86" s="5">
        <f>(F86-F85)/$G$2/(D86-D85)*100</f>
        <v>10.874369175446</v>
      </c>
    </row>
    <row r="87" spans="1:7" x14ac:dyDescent="0.25">
      <c r="A87" s="2">
        <v>1</v>
      </c>
      <c r="B87" s="2" t="s">
        <v>42</v>
      </c>
      <c r="C87" s="2">
        <v>83</v>
      </c>
      <c r="D87" s="11">
        <v>1791327047.6505306</v>
      </c>
      <c r="E87" s="7">
        <f>D87-D5</f>
        <v>89.5698585510254</v>
      </c>
      <c r="F87" s="9">
        <v>1808</v>
      </c>
      <c r="G87" s="5">
        <f>(F87-F86)/$G$2/(D87-D86)*100</f>
        <v>10.2322490531742</v>
      </c>
    </row>
    <row r="88" spans="1:7" x14ac:dyDescent="0.25">
      <c r="A88" s="2">
        <v>1</v>
      </c>
      <c r="B88" s="2" t="s">
        <v>42</v>
      </c>
      <c r="C88" s="2">
        <v>84</v>
      </c>
      <c r="D88" s="11">
        <v>1791327048.715881</v>
      </c>
      <c r="E88" s="7">
        <f>D88-D5</f>
        <v>90.6352090835571</v>
      </c>
      <c r="F88" s="9">
        <v>1815</v>
      </c>
      <c r="G88" s="5">
        <f>(F88-F87)/$G$2/(D88-D87)*100</f>
        <v>6.57060731303615</v>
      </c>
    </row>
    <row r="89" spans="1:7" x14ac:dyDescent="0.25">
      <c r="A89" s="2">
        <v>1</v>
      </c>
      <c r="B89" s="2" t="s">
        <v>42</v>
      </c>
      <c r="C89" s="2">
        <v>85</v>
      </c>
      <c r="D89" s="11">
        <v>1791327049.8050706</v>
      </c>
      <c r="E89" s="7">
        <f>D89-D5</f>
        <v>91.7243986129761</v>
      </c>
      <c r="F89" s="9">
        <v>1825</v>
      </c>
      <c r="G89" s="5">
        <f>(F89-F88)/$G$2/(D89-D88)*100</f>
        <v>9.18113857129598</v>
      </c>
    </row>
    <row r="90" spans="1:7" x14ac:dyDescent="0.25">
      <c r="A90" s="2">
        <v>1</v>
      </c>
      <c r="B90" s="2" t="s">
        <v>42</v>
      </c>
      <c r="C90" s="2">
        <v>86</v>
      </c>
      <c r="D90" s="11">
        <v>1791327050.8859003</v>
      </c>
      <c r="E90" s="7">
        <f>D90-D5</f>
        <v>92.8052282333374</v>
      </c>
      <c r="F90" s="9">
        <v>1835</v>
      </c>
      <c r="G90" s="5">
        <f>(F90-F89)/$G$2/(D90-D89)*100</f>
        <v>9.25215206135537</v>
      </c>
    </row>
    <row r="91" spans="1:7" x14ac:dyDescent="0.25">
      <c r="A91" s="2">
        <v>1</v>
      </c>
      <c r="B91" s="2" t="s">
        <v>42</v>
      </c>
      <c r="C91" s="2">
        <v>87</v>
      </c>
      <c r="D91" s="11">
        <v>1791327051.9800923</v>
      </c>
      <c r="E91" s="7">
        <f>D91-D5</f>
        <v>93.8994202613831</v>
      </c>
      <c r="F91" s="9">
        <v>1846</v>
      </c>
      <c r="G91" s="5">
        <f>(F91-F90)/$G$2/(D91-D90)*100</f>
        <v>10.0530800061185</v>
      </c>
    </row>
    <row r="92" spans="1:7" x14ac:dyDescent="0.25">
      <c r="A92" s="2">
        <v>1</v>
      </c>
      <c r="B92" s="2" t="s">
        <v>42</v>
      </c>
      <c r="C92" s="2">
        <v>88</v>
      </c>
      <c r="D92" s="11">
        <v>1791327053.0829632</v>
      </c>
      <c r="E92" s="7">
        <f>D92-D5</f>
        <v>95.0022912025452</v>
      </c>
      <c r="F92" s="9">
        <v>1854</v>
      </c>
      <c r="G92" s="5">
        <f>(F92-F91)/$G$2/(D92-D91)*100</f>
        <v>7.25379525510963</v>
      </c>
    </row>
    <row r="93" spans="1:7" x14ac:dyDescent="0.25">
      <c r="A93" s="2">
        <v>1</v>
      </c>
      <c r="B93" s="2" t="s">
        <v>42</v>
      </c>
      <c r="C93" s="2">
        <v>89</v>
      </c>
      <c r="D93" s="11">
        <v>1791327054.180941</v>
      </c>
      <c r="E93" s="7">
        <f>D93-D5</f>
        <v>96.1002690792084</v>
      </c>
      <c r="F93" s="9">
        <v>1881</v>
      </c>
      <c r="G93" s="5">
        <f>(F93-F92)/$G$2/(D93-D92)*100</f>
        <v>24.590659405683</v>
      </c>
    </row>
    <row r="94" spans="1:7" x14ac:dyDescent="0.25">
      <c r="A94" s="2">
        <v>1</v>
      </c>
      <c r="B94" s="2" t="s">
        <v>42</v>
      </c>
      <c r="C94" s="2">
        <v>90</v>
      </c>
      <c r="D94" s="11">
        <v>1791327055.2802477</v>
      </c>
      <c r="E94" s="7">
        <f>D94-D5</f>
        <v>97.1995756626129</v>
      </c>
      <c r="F94" s="9">
        <v>1892</v>
      </c>
      <c r="G94" s="5">
        <f>(F94-F93)/$G$2/(D94-D93)*100</f>
        <v>10.0063077635114</v>
      </c>
    </row>
    <row r="95" spans="1:7" x14ac:dyDescent="0.25">
      <c r="A95" s="2">
        <v>1</v>
      </c>
      <c r="B95" s="2" t="s">
        <v>42</v>
      </c>
      <c r="C95" s="2">
        <v>91</v>
      </c>
      <c r="D95" s="11">
        <v>1791327056.4227772</v>
      </c>
      <c r="E95" s="7">
        <f>D95-D5</f>
        <v>98.3421051502228</v>
      </c>
      <c r="F95" s="9">
        <v>1903</v>
      </c>
      <c r="G95" s="5">
        <f>(F95-F94)/$G$2/(D95-D94)*100</f>
        <v>9.62776026289848</v>
      </c>
    </row>
    <row r="96" spans="1:7" x14ac:dyDescent="0.25">
      <c r="A96" s="2">
        <v>1</v>
      </c>
      <c r="B96" s="2" t="s">
        <v>42</v>
      </c>
      <c r="C96" s="2">
        <v>92</v>
      </c>
      <c r="D96" s="11">
        <v>1791327057.5308826</v>
      </c>
      <c r="E96" s="7">
        <f>D96-D5</f>
        <v>99.4502105712891</v>
      </c>
      <c r="F96" s="9">
        <v>1913</v>
      </c>
      <c r="G96" s="5">
        <f>(F96-F95)/$G$2/(D96-D95)*100</f>
        <v>9.02441212712182</v>
      </c>
    </row>
    <row r="97" spans="1:7" x14ac:dyDescent="0.25">
      <c r="A97" s="2">
        <v>1</v>
      </c>
      <c r="B97" s="2" t="s">
        <v>42</v>
      </c>
      <c r="C97" s="2">
        <v>93</v>
      </c>
      <c r="D97" s="11">
        <v>1791327058.6266298</v>
      </c>
      <c r="E97" s="7">
        <f>D97-D5</f>
        <v>100.545957803726</v>
      </c>
      <c r="F97" s="9">
        <v>1924</v>
      </c>
      <c r="G97" s="5">
        <f>(F97-F96)/$G$2/(D97-D96)*100</f>
        <v>10.038811574759</v>
      </c>
    </row>
    <row r="98" spans="1:7" x14ac:dyDescent="0.25">
      <c r="A98" s="2">
        <v>1</v>
      </c>
      <c r="B98" s="2" t="s">
        <v>42</v>
      </c>
      <c r="C98" s="2">
        <v>94</v>
      </c>
      <c r="D98" s="11">
        <v>1791327059.7226708</v>
      </c>
      <c r="E98" s="7">
        <f>D98-D5</f>
        <v>101.641998767853</v>
      </c>
      <c r="F98" s="9">
        <v>1929</v>
      </c>
      <c r="G98" s="5">
        <f>(F98-F97)/$G$2/(D98-D97)*100</f>
        <v>4.56187329091701</v>
      </c>
    </row>
    <row r="99" spans="1:7" x14ac:dyDescent="0.25">
      <c r="A99" s="2">
        <v>1</v>
      </c>
      <c r="B99" s="2" t="s">
        <v>42</v>
      </c>
      <c r="C99" s="2">
        <v>95</v>
      </c>
      <c r="D99" s="11">
        <v>1791327060.803381</v>
      </c>
      <c r="E99" s="7">
        <f>D99-D5</f>
        <v>102.722708940506</v>
      </c>
      <c r="F99" s="9">
        <v>1937</v>
      </c>
      <c r="G99" s="5">
        <f>(F99-F98)/$G$2/(D99-D98)*100</f>
        <v>7.40253973954885</v>
      </c>
    </row>
    <row r="100" spans="1:7" x14ac:dyDescent="0.25">
      <c r="A100" s="2">
        <v>1</v>
      </c>
      <c r="B100" s="2" t="s">
        <v>42</v>
      </c>
      <c r="C100" s="2">
        <v>96</v>
      </c>
      <c r="D100" s="11">
        <v>1791327061.858344</v>
      </c>
      <c r="E100" s="7">
        <f>D100-D5</f>
        <v>103.777672052383</v>
      </c>
      <c r="F100" s="9">
        <v>1939</v>
      </c>
      <c r="G100" s="5">
        <f>(F100-F99)/$G$2/(D100-D99)*100</f>
        <v>1.89580088391977</v>
      </c>
    </row>
    <row r="101" spans="1:7" x14ac:dyDescent="0.25">
      <c r="A101" s="2">
        <v>1</v>
      </c>
      <c r="B101" s="2" t="s">
        <v>42</v>
      </c>
      <c r="C101" s="2">
        <v>97</v>
      </c>
      <c r="D101" s="11">
        <v>1791327062.9150357</v>
      </c>
      <c r="E101" s="7">
        <f>D101-D5</f>
        <v>104.834363698959</v>
      </c>
      <c r="F101" s="9">
        <v>1943</v>
      </c>
      <c r="G101" s="5">
        <f>(F101-F100)/$G$2/(D101-D100)*100</f>
        <v>3.78539947103915</v>
      </c>
    </row>
    <row r="102" spans="1:7" x14ac:dyDescent="0.25">
      <c r="A102" s="2">
        <v>1</v>
      </c>
      <c r="B102" s="2" t="s">
        <v>42</v>
      </c>
      <c r="C102" s="2">
        <v>98</v>
      </c>
      <c r="D102" s="11">
        <v>1791327063.9704924</v>
      </c>
      <c r="E102" s="7">
        <f>D102-D5</f>
        <v>105.889820337296</v>
      </c>
      <c r="F102" s="9">
        <v>1948</v>
      </c>
      <c r="G102" s="5">
        <f>(F102-F101)/$G$2/(D102-D101)*100</f>
        <v>4.73728604131192</v>
      </c>
    </row>
    <row r="103" spans="1:7" x14ac:dyDescent="0.25">
      <c r="A103" s="2">
        <v>1</v>
      </c>
      <c r="B103" s="2" t="s">
        <v>42</v>
      </c>
      <c r="C103" s="2">
        <v>99</v>
      </c>
      <c r="D103" s="11">
        <v>1791327065.0650246</v>
      </c>
      <c r="E103" s="7">
        <f>D103-D5</f>
        <v>106.984352588654</v>
      </c>
      <c r="F103" s="9">
        <v>1956</v>
      </c>
      <c r="G103" s="5">
        <f>(F103-F102)/$G$2/(D103-D102)*100</f>
        <v>7.3090582667382</v>
      </c>
    </row>
    <row r="104" spans="1:7" x14ac:dyDescent="0.25">
      <c r="A104" s="2">
        <v>1</v>
      </c>
      <c r="B104" s="2" t="s">
        <v>42</v>
      </c>
      <c r="C104" s="2">
        <v>100</v>
      </c>
      <c r="D104" s="11">
        <v>1791327066.1440632</v>
      </c>
      <c r="E104" s="7">
        <f>D104-D5</f>
        <v>108.063391208649</v>
      </c>
      <c r="F104" s="9">
        <v>1970</v>
      </c>
      <c r="G104" s="5">
        <f>(F104-F103)/$G$2/(D104-D103)*100</f>
        <v>12.9745124415133</v>
      </c>
    </row>
    <row r="105" spans="1:7" x14ac:dyDescent="0.25">
      <c r="A105" s="2">
        <v>1</v>
      </c>
      <c r="B105" s="2" t="s">
        <v>42</v>
      </c>
      <c r="C105" s="2">
        <v>101</v>
      </c>
      <c r="D105" s="11">
        <v>1791327067.2544646</v>
      </c>
      <c r="E105" s="7">
        <f>D105-D5</f>
        <v>109.173792600632</v>
      </c>
      <c r="F105" s="9">
        <v>1995</v>
      </c>
      <c r="G105" s="5">
        <f>(F105-F104)/$G$2/(D105-D104)*100</f>
        <v>22.5143809981661</v>
      </c>
    </row>
    <row r="106" spans="1:7" x14ac:dyDescent="0.25">
      <c r="A106" s="2">
        <v>1</v>
      </c>
      <c r="B106" s="2" t="s">
        <v>42</v>
      </c>
      <c r="C106" s="2">
        <v>102</v>
      </c>
      <c r="D106" s="11">
        <v>1791327068.3255613</v>
      </c>
      <c r="E106" s="7">
        <f>D106-D5</f>
        <v>110.244889259338</v>
      </c>
      <c r="F106" s="9">
        <v>2000</v>
      </c>
      <c r="G106" s="5">
        <f>(F106-F105)/$G$2/(D106-D105)*100</f>
        <v>4.66811277895072</v>
      </c>
    </row>
    <row r="107" spans="1:7" x14ac:dyDescent="0.25">
      <c r="A107" s="2">
        <v>1</v>
      </c>
      <c r="B107" s="2" t="s">
        <v>42</v>
      </c>
      <c r="C107" s="2">
        <v>103</v>
      </c>
      <c r="D107" s="11">
        <v>1791327069.4304368</v>
      </c>
      <c r="E107" s="7">
        <f>D107-D5</f>
        <v>111.349764823914</v>
      </c>
      <c r="F107" s="9">
        <v>2011</v>
      </c>
      <c r="G107" s="5">
        <f>(F107-F106)/$G$2/(D107-D106)*100</f>
        <v>9.95587227438531</v>
      </c>
    </row>
    <row r="108" spans="1:7" x14ac:dyDescent="0.25">
      <c r="A108" s="2">
        <v>1</v>
      </c>
      <c r="B108" s="2" t="s">
        <v>42</v>
      </c>
      <c r="C108" s="2">
        <v>104</v>
      </c>
      <c r="D108" s="11">
        <v>1791327070.5166218</v>
      </c>
      <c r="E108" s="7">
        <f>D108-D5</f>
        <v>112.435949802399</v>
      </c>
      <c r="F108" s="9">
        <v>2021</v>
      </c>
      <c r="G108" s="5">
        <f>(F108-F107)/$G$2/(D108-D107)*100</f>
        <v>9.20653498076075</v>
      </c>
    </row>
    <row r="109" spans="1:7" x14ac:dyDescent="0.25">
      <c r="A109" s="2">
        <v>1</v>
      </c>
      <c r="B109" s="2" t="s">
        <v>42</v>
      </c>
      <c r="C109" s="2">
        <v>105</v>
      </c>
      <c r="D109" s="11">
        <v>1791327071.5903132</v>
      </c>
      <c r="E109" s="7">
        <f>D109-D5</f>
        <v>113.509641170502</v>
      </c>
      <c r="F109" s="9">
        <v>2030</v>
      </c>
      <c r="G109" s="5">
        <f>(F109-F108)/$G$2/(D109-D108)*100</f>
        <v>8.38229706167889</v>
      </c>
    </row>
    <row r="110" spans="1:7" x14ac:dyDescent="0.25">
      <c r="A110" s="2">
        <v>1</v>
      </c>
      <c r="B110" s="2" t="s">
        <v>42</v>
      </c>
      <c r="C110" s="2">
        <v>106</v>
      </c>
      <c r="D110" s="11">
        <v>1791327072.6297457</v>
      </c>
      <c r="E110" s="7">
        <f>D110-D5</f>
        <v>114.549073696136</v>
      </c>
      <c r="F110" s="9">
        <v>2035</v>
      </c>
      <c r="G110" s="5">
        <f>(F110-F109)/$G$2/(D110-D109)*100</f>
        <v>4.81031704962915</v>
      </c>
    </row>
    <row r="111" spans="1:7" x14ac:dyDescent="0.25">
      <c r="A111" s="2">
        <v>1</v>
      </c>
      <c r="B111" s="2" t="s">
        <v>42</v>
      </c>
      <c r="C111" s="2">
        <v>107</v>
      </c>
      <c r="D111" s="11">
        <v>1791327073.6753364</v>
      </c>
      <c r="E111" s="7">
        <f>D111-D5</f>
        <v>115.594664335251</v>
      </c>
      <c r="F111" s="9">
        <v>2043</v>
      </c>
      <c r="G111" s="5">
        <f>(F111-F110)/$G$2/(D111-D110)*100</f>
        <v>7.65117790914429</v>
      </c>
    </row>
    <row r="112" spans="1:7" x14ac:dyDescent="0.25">
      <c r="A112" s="2">
        <v>1</v>
      </c>
      <c r="B112" s="2" t="s">
        <v>42</v>
      </c>
      <c r="C112" s="2">
        <v>108</v>
      </c>
      <c r="D112" s="11">
        <v>1791327074.7554479</v>
      </c>
      <c r="E112" s="7">
        <f>D112-D5</f>
        <v>116.674775838852</v>
      </c>
      <c r="F112" s="9">
        <v>2052</v>
      </c>
      <c r="G112" s="5">
        <f>(F112-F111)/$G$2/(D112-D111)*100</f>
        <v>8.33247305485975</v>
      </c>
    </row>
    <row r="113" spans="1:7" x14ac:dyDescent="0.25">
      <c r="A113" s="2">
        <v>1</v>
      </c>
      <c r="B113" s="2" t="s">
        <v>42</v>
      </c>
      <c r="C113" s="2">
        <v>109</v>
      </c>
      <c r="D113" s="11">
        <v>1791327075.833045</v>
      </c>
      <c r="E113" s="7">
        <f>D113-D5</f>
        <v>117.752372980118</v>
      </c>
      <c r="F113" s="9">
        <v>2064</v>
      </c>
      <c r="G113" s="5">
        <f>(F113-F112)/$G$2/(D113-D112)*100</f>
        <v>11.1358870030997</v>
      </c>
    </row>
    <row r="114" spans="1:7" x14ac:dyDescent="0.25">
      <c r="A114" s="2">
        <v>1</v>
      </c>
      <c r="B114" s="2" t="s">
        <v>42</v>
      </c>
      <c r="C114" s="2">
        <v>110</v>
      </c>
      <c r="D114" s="11">
        <v>1791327076.9383848</v>
      </c>
      <c r="E114" s="7">
        <f>D114-D5</f>
        <v>118.857712745667</v>
      </c>
      <c r="F114" s="9">
        <v>2076</v>
      </c>
      <c r="G114" s="5">
        <f>(F114-F113)/$G$2/(D114-D113)*100</f>
        <v>10.8563903824115</v>
      </c>
    </row>
    <row r="115" spans="1:7" x14ac:dyDescent="0.25">
      <c r="A115" s="2">
        <v>1</v>
      </c>
      <c r="B115" s="2" t="s">
        <v>42</v>
      </c>
      <c r="C115" s="2">
        <v>111</v>
      </c>
      <c r="D115" s="11">
        <v>1791327078.0336933</v>
      </c>
      <c r="E115" s="7">
        <f>D115-D5</f>
        <v>119.953021287918</v>
      </c>
      <c r="F115" s="9">
        <v>2094</v>
      </c>
      <c r="G115" s="5">
        <f>(F115-F114)/$G$2/(D115-D114)*100</f>
        <v>16.4337255719727</v>
      </c>
    </row>
    <row r="116" spans="1:7" x14ac:dyDescent="0.25">
      <c r="A116" s="2">
        <v>1</v>
      </c>
      <c r="B116" s="2" t="s">
        <v>42</v>
      </c>
      <c r="C116" s="2">
        <v>112</v>
      </c>
      <c r="D116" s="11">
        <v>1791327079.0902357</v>
      </c>
      <c r="E116" s="7">
        <f>D116-D5</f>
        <v>121.009563684464</v>
      </c>
      <c r="F116" s="9">
        <v>2109</v>
      </c>
      <c r="G116" s="5">
        <f>(F116-F115)/$G$2/(D116-D115)*100</f>
        <v>14.1972532754442</v>
      </c>
    </row>
    <row r="117" spans="1:7" x14ac:dyDescent="0.25">
      <c r="A117" s="2">
        <v>1</v>
      </c>
      <c r="B117" s="2" t="s">
        <v>42</v>
      </c>
      <c r="C117" s="2">
        <v>113</v>
      </c>
      <c r="D117" s="11">
        <v>1791327080.168333</v>
      </c>
      <c r="E117" s="7">
        <f>D117-D5</f>
        <v>122.087661027908</v>
      </c>
      <c r="F117" s="9">
        <v>2120</v>
      </c>
      <c r="G117" s="5">
        <f>(F117-F116)/$G$2/(D117-D116)*100</f>
        <v>10.2031602868549</v>
      </c>
    </row>
    <row r="118" spans="1:7" x14ac:dyDescent="0.25">
      <c r="A118" s="2">
        <v>1</v>
      </c>
      <c r="B118" s="2" t="s">
        <v>42</v>
      </c>
      <c r="C118" s="2">
        <v>114</v>
      </c>
      <c r="D118" s="11">
        <v>1791327081.272321</v>
      </c>
      <c r="E118" s="7">
        <f>D118-D5</f>
        <v>123.191648960114</v>
      </c>
      <c r="F118" s="9">
        <v>2130</v>
      </c>
      <c r="G118" s="5">
        <f>(F118-F117)/$G$2/(D118-D117)*100</f>
        <v>9.05807002801665</v>
      </c>
    </row>
    <row r="119" spans="1:7" x14ac:dyDescent="0.25">
      <c r="A119" s="2">
        <v>1</v>
      </c>
      <c r="B119" s="2" t="s">
        <v>42</v>
      </c>
      <c r="C119" s="2">
        <v>115</v>
      </c>
      <c r="D119" s="11">
        <v>1791327082.380567</v>
      </c>
      <c r="E119" s="7">
        <f>D119-D5</f>
        <v>124.299895048141</v>
      </c>
      <c r="F119" s="9">
        <v>2141</v>
      </c>
      <c r="G119" s="5">
        <f>(F119-F118)/$G$2/(D119-D118)*100</f>
        <v>9.92559334865213</v>
      </c>
    </row>
    <row r="120" spans="1:7" x14ac:dyDescent="0.25">
      <c r="A120" s="2">
        <v>1</v>
      </c>
      <c r="B120" s="2" t="s">
        <v>42</v>
      </c>
      <c r="C120" s="2">
        <v>116</v>
      </c>
      <c r="D120" s="11">
        <v>1791327083.4639409</v>
      </c>
      <c r="E120" s="7">
        <f>D120-D5</f>
        <v>125.38326883316</v>
      </c>
      <c r="F120" s="9">
        <v>2152</v>
      </c>
      <c r="G120" s="5">
        <f>(F120-F119)/$G$2/(D120-D119)*100</f>
        <v>10.1534670232102</v>
      </c>
    </row>
    <row r="121" spans="1:7" x14ac:dyDescent="0.25">
      <c r="A121" s="2">
        <v>1</v>
      </c>
      <c r="B121" s="2" t="s">
        <v>42</v>
      </c>
      <c r="C121" s="2">
        <v>117</v>
      </c>
      <c r="D121" s="11">
        <v>1791327084.5732405</v>
      </c>
      <c r="E121" s="7">
        <f>D121-D5</f>
        <v>126.492568492889</v>
      </c>
      <c r="F121" s="9">
        <v>2159</v>
      </c>
      <c r="G121" s="5">
        <f>(F121-F120)/$G$2/(D121-D120)*100</f>
        <v>6.31028770144044</v>
      </c>
    </row>
    <row r="122" spans="1:7" x14ac:dyDescent="0.25">
      <c r="A122" s="2">
        <v>1</v>
      </c>
      <c r="B122" s="2" t="s">
        <v>42</v>
      </c>
      <c r="C122" s="2">
        <v>118</v>
      </c>
      <c r="D122" s="11">
        <v>1791327085.6745236</v>
      </c>
      <c r="E122" s="7">
        <f>D122-D5</f>
        <v>127.593851566315</v>
      </c>
      <c r="F122" s="9">
        <v>2170</v>
      </c>
      <c r="G122" s="5">
        <f>(F122-F121)/$G$2/(D122-D121)*100</f>
        <v>9.98834928588068</v>
      </c>
    </row>
    <row r="123" spans="1:7" x14ac:dyDescent="0.25">
      <c r="A123" s="2">
        <v>1</v>
      </c>
      <c r="B123" s="2" t="s">
        <v>42</v>
      </c>
      <c r="C123" s="2">
        <v>119</v>
      </c>
      <c r="D123" s="11">
        <v>1791327086.773992</v>
      </c>
      <c r="E123" s="7">
        <f>D123-D5</f>
        <v>128.693320035934</v>
      </c>
      <c r="F123" s="9">
        <v>2181</v>
      </c>
      <c r="G123" s="5">
        <f>(F123-F122)/$G$2/(D123-D122)*100</f>
        <v>10.0048344304083</v>
      </c>
    </row>
    <row r="124" spans="1:7" x14ac:dyDescent="0.25">
      <c r="A124" s="2">
        <v>1</v>
      </c>
      <c r="B124" s="2" t="s">
        <v>42</v>
      </c>
      <c r="C124" s="2">
        <v>120</v>
      </c>
      <c r="D124" s="11">
        <v>1791327087.8503792</v>
      </c>
      <c r="E124" s="7">
        <f>D124-D5</f>
        <v>129.769707202911</v>
      </c>
      <c r="F124" s="9">
        <v>2191</v>
      </c>
      <c r="G124" s="5">
        <f>(F124-F123)/$G$2/(D124-D123)*100</f>
        <v>9.29033744250719</v>
      </c>
    </row>
    <row r="125" spans="1:7" x14ac:dyDescent="0.25">
      <c r="A125" s="2">
        <v>1</v>
      </c>
      <c r="B125" s="2" t="s">
        <v>42</v>
      </c>
      <c r="C125" s="2">
        <v>121</v>
      </c>
      <c r="D125" s="11">
        <v>1791327088.9260552</v>
      </c>
      <c r="E125" s="7">
        <f>D125-D5</f>
        <v>130.845383167267</v>
      </c>
      <c r="F125" s="9">
        <v>2199</v>
      </c>
      <c r="G125" s="5">
        <f>(F125-F124)/$G$2/(D125-D124)*100</f>
        <v>7.43718393372627</v>
      </c>
    </row>
    <row r="126" spans="1:7" x14ac:dyDescent="0.25">
      <c r="A126" s="2">
        <v>1</v>
      </c>
      <c r="B126" s="2" t="s">
        <v>42</v>
      </c>
      <c r="C126" s="2">
        <v>122</v>
      </c>
      <c r="D126" s="11">
        <v>1791327090.016795</v>
      </c>
      <c r="E126" s="7">
        <f>D126-D5</f>
        <v>131.936122894287</v>
      </c>
      <c r="F126" s="9">
        <v>2217</v>
      </c>
      <c r="G126" s="5">
        <f>(F126-F125)/$G$2/(D126-D125)*100</f>
        <v>16.5025620265737</v>
      </c>
    </row>
    <row r="127" spans="1:7" x14ac:dyDescent="0.25">
      <c r="A127" s="2">
        <v>1</v>
      </c>
      <c r="B127" s="2" t="s">
        <v>42</v>
      </c>
      <c r="C127" s="2">
        <v>123</v>
      </c>
      <c r="D127" s="11">
        <v>1791327091.106751</v>
      </c>
      <c r="E127" s="7">
        <f>D127-D5</f>
        <v>133.026078939438</v>
      </c>
      <c r="F127" s="9">
        <v>2235</v>
      </c>
      <c r="G127" s="5">
        <f>(F127-F126)/$G$2/(D127-D126)*100</f>
        <v>16.5144274212547</v>
      </c>
    </row>
    <row r="128" spans="1:7" x14ac:dyDescent="0.25">
      <c r="A128" s="2">
        <v>1</v>
      </c>
      <c r="B128" s="2" t="s">
        <v>42</v>
      </c>
      <c r="C128" s="2">
        <v>124</v>
      </c>
      <c r="D128" s="11">
        <v>1791327092.213959</v>
      </c>
      <c r="E128" s="7">
        <f>D128-D5</f>
        <v>134.133286952972</v>
      </c>
      <c r="F128" s="9">
        <v>2246</v>
      </c>
      <c r="G128" s="5">
        <f>(F128-F127)/$G$2/(D128-D127)*100</f>
        <v>9.93489919286679</v>
      </c>
    </row>
    <row r="129" spans="1:7" x14ac:dyDescent="0.25">
      <c r="A129" s="2">
        <v>1</v>
      </c>
      <c r="B129" s="2" t="s">
        <v>42</v>
      </c>
      <c r="C129" s="2">
        <v>125</v>
      </c>
      <c r="D129" s="11">
        <v>1791327093.317352</v>
      </c>
      <c r="E129" s="7">
        <f>D129-D5</f>
        <v>135.236680030823</v>
      </c>
      <c r="F129" s="9">
        <v>2259</v>
      </c>
      <c r="G129" s="5">
        <f>(F129-F128)/$G$2/(D129-D128)*100</f>
        <v>11.7818393652849</v>
      </c>
    </row>
    <row r="130" spans="1:7" x14ac:dyDescent="0.25">
      <c r="A130" s="2">
        <v>1</v>
      </c>
      <c r="B130" s="2" t="s">
        <v>42</v>
      </c>
      <c r="C130" s="2">
        <v>126</v>
      </c>
      <c r="D130" s="11">
        <v>1791327094.416046</v>
      </c>
      <c r="E130" s="7">
        <f>D130-D5</f>
        <v>136.335373878479</v>
      </c>
      <c r="F130" s="9">
        <v>2270</v>
      </c>
      <c r="G130" s="5">
        <f>(F130-F129)/$G$2/(D130-D129)*100</f>
        <v>10.0118882284318</v>
      </c>
    </row>
    <row r="131" spans="1:7" x14ac:dyDescent="0.25">
      <c r="A131" s="2">
        <v>1</v>
      </c>
      <c r="B131" s="2" t="s">
        <v>42</v>
      </c>
      <c r="C131" s="2">
        <v>127</v>
      </c>
      <c r="D131" s="11">
        <v>1791327095.522992</v>
      </c>
      <c r="E131" s="7">
        <f>D131-D5</f>
        <v>137.442319869995</v>
      </c>
      <c r="F131" s="9">
        <v>2278</v>
      </c>
      <c r="G131" s="5">
        <f>(F131-F130)/$G$2/(D131-D130)*100</f>
        <v>7.22709153049365</v>
      </c>
    </row>
    <row r="132" spans="1:7" x14ac:dyDescent="0.25">
      <c r="A132" s="2">
        <v>1</v>
      </c>
      <c r="B132" s="2" t="s">
        <v>42</v>
      </c>
      <c r="C132" s="2">
        <v>128</v>
      </c>
      <c r="D132" s="11">
        <v>1791327096.6098895</v>
      </c>
      <c r="E132" s="7">
        <f>D132-D5</f>
        <v>138.529217481613</v>
      </c>
      <c r="F132" s="9">
        <v>2289</v>
      </c>
      <c r="G132" s="5">
        <f>(F132-F131)/$G$2/(D132-D131)*100</f>
        <v>10.120548506519</v>
      </c>
    </row>
    <row r="133" spans="1:7" x14ac:dyDescent="0.25">
      <c r="A133" s="2">
        <v>1</v>
      </c>
      <c r="B133" s="2" t="s">
        <v>42</v>
      </c>
      <c r="C133" s="2">
        <v>129</v>
      </c>
      <c r="D133" s="11">
        <v>1791327097.6927192</v>
      </c>
      <c r="E133" s="7">
        <f>D133-D5</f>
        <v>139.612047195435</v>
      </c>
      <c r="F133" s="9">
        <v>2301</v>
      </c>
      <c r="G133" s="5">
        <f>(F133-F132)/$G$2/(D133-D132)*100</f>
        <v>11.082074906913</v>
      </c>
    </row>
    <row r="134" spans="1:7" x14ac:dyDescent="0.25">
      <c r="A134" s="2">
        <v>1</v>
      </c>
      <c r="B134" s="2" t="s">
        <v>42</v>
      </c>
      <c r="C134" s="2">
        <v>130</v>
      </c>
      <c r="D134" s="11">
        <v>1791327098.7747462</v>
      </c>
      <c r="E134" s="7">
        <f>D134-D5</f>
        <v>140.6940741539</v>
      </c>
      <c r="F134" s="9">
        <v>2312</v>
      </c>
      <c r="G134" s="5">
        <f>(F134-F133)/$G$2/(D134-D133)*100</f>
        <v>10.1661053025879</v>
      </c>
    </row>
    <row r="135" spans="1:7" x14ac:dyDescent="0.25">
      <c r="A135" s="2">
        <v>1</v>
      </c>
      <c r="B135" s="2" t="s">
        <v>42</v>
      </c>
      <c r="C135" s="2">
        <v>131</v>
      </c>
      <c r="D135" s="11">
        <v>1791327099.9014177</v>
      </c>
      <c r="E135" s="7">
        <f>D135-D5</f>
        <v>141.820745706558</v>
      </c>
      <c r="F135" s="9">
        <v>2323</v>
      </c>
      <c r="G135" s="5">
        <f>(F135-F134)/$G$2/(D135-D134)*100</f>
        <v>9.76327126929622</v>
      </c>
    </row>
    <row r="136" spans="1:7" x14ac:dyDescent="0.25">
      <c r="A136" s="2">
        <v>1</v>
      </c>
      <c r="B136" s="2" t="s">
        <v>42</v>
      </c>
      <c r="C136" s="2">
        <v>132</v>
      </c>
      <c r="D136" s="11">
        <v>1791327100.997111</v>
      </c>
      <c r="E136" s="7">
        <f>D136-D5</f>
        <v>142.916439056397</v>
      </c>
      <c r="F136" s="9">
        <v>2332</v>
      </c>
      <c r="G136" s="5">
        <f>(F136-F135)/$G$2/(D136-D135)*100</f>
        <v>8.2139770231594</v>
      </c>
    </row>
    <row r="137" spans="1:7" x14ac:dyDescent="0.25">
      <c r="A137" s="2">
        <v>1</v>
      </c>
      <c r="B137" s="2" t="s">
        <v>42</v>
      </c>
      <c r="C137" s="2">
        <v>133</v>
      </c>
      <c r="D137" s="11">
        <v>1791327102.10136</v>
      </c>
      <c r="E137" s="7">
        <f>D137-D5</f>
        <v>144.020688056946</v>
      </c>
      <c r="F137" s="9">
        <v>2352</v>
      </c>
      <c r="G137" s="5">
        <f>(F137-F136)/$G$2/(D137-D136)*100</f>
        <v>18.1118570087461</v>
      </c>
    </row>
    <row r="138" spans="1:7" x14ac:dyDescent="0.25">
      <c r="A138" s="2">
        <v>1</v>
      </c>
      <c r="B138" s="2" t="s">
        <v>42</v>
      </c>
      <c r="C138" s="2">
        <v>134</v>
      </c>
      <c r="D138" s="11">
        <v>1791327103.2009814</v>
      </c>
      <c r="E138" s="7">
        <f>D138-D5</f>
        <v>145.120309352875</v>
      </c>
      <c r="F138" s="9">
        <v>2371</v>
      </c>
      <c r="G138" s="5">
        <f>(F138-F137)/$G$2/(D138-D137)*100</f>
        <v>17.2786759135552</v>
      </c>
    </row>
    <row r="139" spans="1:7" x14ac:dyDescent="0.25">
      <c r="A139" s="2">
        <v>1</v>
      </c>
      <c r="B139" s="2" t="s">
        <v>42</v>
      </c>
      <c r="C139" s="2">
        <v>135</v>
      </c>
      <c r="D139" s="11">
        <v>1791327104.303736</v>
      </c>
      <c r="E139" s="7">
        <f>D139-D5</f>
        <v>146.22306394577</v>
      </c>
      <c r="F139" s="9">
        <v>2383</v>
      </c>
      <c r="G139" s="5">
        <f>(F139-F138)/$G$2/(D139-D138)*100</f>
        <v>10.8818408713144</v>
      </c>
    </row>
    <row r="140" spans="1:7" x14ac:dyDescent="0.25">
      <c r="A140" s="2">
        <v>1</v>
      </c>
      <c r="B140" s="2" t="s">
        <v>42</v>
      </c>
      <c r="C140" s="2">
        <v>136</v>
      </c>
      <c r="D140" s="11">
        <v>1791327105.4074538</v>
      </c>
      <c r="E140" s="7">
        <f>D140-D5</f>
        <v>147.326781749725</v>
      </c>
      <c r="F140" s="9">
        <v>2394</v>
      </c>
      <c r="G140" s="5">
        <f>(F140-F139)/$G$2/(D140-D139)*100</f>
        <v>9.96631562939589</v>
      </c>
    </row>
    <row r="141" spans="1:7" x14ac:dyDescent="0.25">
      <c r="A141" s="2">
        <v>1</v>
      </c>
      <c r="B141" s="2" t="s">
        <v>42</v>
      </c>
      <c r="C141" s="2">
        <v>137</v>
      </c>
      <c r="D141" s="11">
        <v>1791327106.512522</v>
      </c>
      <c r="E141" s="7">
        <f>D141-D5</f>
        <v>148.431849956512</v>
      </c>
      <c r="F141" s="9">
        <v>2405</v>
      </c>
      <c r="G141" s="5">
        <f>(F141-F140)/$G$2/(D141-D140)*100</f>
        <v>9.95413670616907</v>
      </c>
    </row>
    <row r="142" spans="1:7" x14ac:dyDescent="0.25">
      <c r="A142" s="2">
        <v>1</v>
      </c>
      <c r="B142" s="2" t="s">
        <v>42</v>
      </c>
      <c r="C142" s="2">
        <v>138</v>
      </c>
      <c r="D142" s="11">
        <v>1791327107.620344</v>
      </c>
      <c r="E142" s="7">
        <f>D142-D5</f>
        <v>149.539671897888</v>
      </c>
      <c r="F142" s="9">
        <v>2417</v>
      </c>
      <c r="G142" s="5">
        <f>(F142-F141)/$G$2/(D142-D141)*100</f>
        <v>10.8320656522636</v>
      </c>
    </row>
    <row r="143" spans="1:7" x14ac:dyDescent="0.25">
      <c r="A143" s="2">
        <v>1</v>
      </c>
      <c r="B143" s="2" t="s">
        <v>42</v>
      </c>
      <c r="C143" s="2">
        <v>139</v>
      </c>
      <c r="D143" s="11">
        <v>1791327108.7233875</v>
      </c>
      <c r="E143" s="7">
        <f>D143-D5</f>
        <v>150.642715454102</v>
      </c>
      <c r="F143" s="9">
        <v>2427</v>
      </c>
      <c r="G143" s="5">
        <f>(F143-F142)/$G$2/(D143-D142)*100</f>
        <v>9.06582513779315</v>
      </c>
    </row>
    <row r="144" spans="1:7" x14ac:dyDescent="0.25">
      <c r="A144" s="2">
        <v>1</v>
      </c>
      <c r="B144" s="2" t="s">
        <v>42</v>
      </c>
      <c r="C144" s="2">
        <v>140</v>
      </c>
      <c r="D144" s="11">
        <v>1791327109.8296878</v>
      </c>
      <c r="E144" s="7">
        <f>D144-D5</f>
        <v>151.749015808105</v>
      </c>
      <c r="F144" s="9">
        <v>2436</v>
      </c>
      <c r="G144" s="5">
        <f>(F144-F143)/$G$2/(D144-D143)*100</f>
        <v>8.13522292334747</v>
      </c>
    </row>
    <row r="145" spans="1:7" x14ac:dyDescent="0.25">
      <c r="A145" s="2">
        <v>1</v>
      </c>
      <c r="B145" s="2" t="s">
        <v>42</v>
      </c>
      <c r="C145" s="2">
        <v>141</v>
      </c>
      <c r="D145" s="11">
        <v>1791327110.913419</v>
      </c>
      <c r="E145" s="7">
        <f>D145-D5</f>
        <v>152.832746982574</v>
      </c>
      <c r="F145" s="9">
        <v>2443</v>
      </c>
      <c r="G145" s="5">
        <f>(F145-F144)/$G$2/(D145-D144)*100</f>
        <v>6.45916641036912</v>
      </c>
    </row>
    <row r="146" spans="1:7" x14ac:dyDescent="0.25">
      <c r="A146" s="2">
        <v>1</v>
      </c>
      <c r="B146" s="2" t="s">
        <v>42</v>
      </c>
      <c r="C146" s="2">
        <v>142</v>
      </c>
      <c r="D146" s="11">
        <v>1791327112.0003486</v>
      </c>
      <c r="E146" s="7">
        <f>D146-D5</f>
        <v>153.919676542282</v>
      </c>
      <c r="F146" s="9">
        <v>2454</v>
      </c>
      <c r="G146" s="5">
        <f>(F146-F145)/$G$2/(D146-D145)*100</f>
        <v>10.1202510335249</v>
      </c>
    </row>
    <row r="147" spans="1:7" x14ac:dyDescent="0.25">
      <c r="A147" s="2">
        <v>1</v>
      </c>
      <c r="B147" s="2" t="s">
        <v>42</v>
      </c>
      <c r="C147" s="2">
        <v>143</v>
      </c>
      <c r="D147" s="11">
        <v>1791327113.0814095</v>
      </c>
      <c r="E147" s="7">
        <f>D147-D5</f>
        <v>155.000737428665</v>
      </c>
      <c r="F147" s="9">
        <v>2466</v>
      </c>
      <c r="G147" s="5">
        <f>(F147-F146)/$G$2/(D147-D146)*100</f>
        <v>11.1002073529353</v>
      </c>
    </row>
    <row r="148" spans="1:7" x14ac:dyDescent="0.25">
      <c r="A148" s="2">
        <v>1</v>
      </c>
      <c r="B148" s="2" t="s">
        <v>42</v>
      </c>
      <c r="C148" s="2">
        <v>144</v>
      </c>
      <c r="D148" s="11">
        <v>1791327114.1513402</v>
      </c>
      <c r="E148" s="7">
        <f>D148-D5</f>
        <v>156.07066822052</v>
      </c>
      <c r="F148" s="9">
        <v>2489</v>
      </c>
      <c r="G148" s="5">
        <f>(F148-F147)/$G$2/(D148-D147)*100</f>
        <v>21.4967175214451</v>
      </c>
    </row>
    <row r="149" spans="1:7" x14ac:dyDescent="0.25">
      <c r="A149" s="2">
        <v>1</v>
      </c>
      <c r="B149" s="2" t="s">
        <v>42</v>
      </c>
      <c r="C149" s="2">
        <v>145</v>
      </c>
      <c r="D149" s="11">
        <v>1791327115.2514167</v>
      </c>
      <c r="E149" s="7">
        <f>D149-D5</f>
        <v>157.170744657516</v>
      </c>
      <c r="F149" s="9">
        <v>2498</v>
      </c>
      <c r="G149" s="5">
        <f>(F149-F148)/$G$2/(D149-D148)*100</f>
        <v>8.18124968167913</v>
      </c>
    </row>
    <row r="150" spans="1:7" x14ac:dyDescent="0.25">
      <c r="A150" s="2">
        <v>1</v>
      </c>
      <c r="B150" s="2" t="s">
        <v>42</v>
      </c>
      <c r="C150" s="2">
        <v>146</v>
      </c>
      <c r="D150" s="11">
        <v>1791327116.3247566</v>
      </c>
      <c r="E150" s="7">
        <f>D150-D5</f>
        <v>158.244084596634</v>
      </c>
      <c r="F150" s="9">
        <v>2508</v>
      </c>
      <c r="G150" s="5">
        <f>(F150-F149)/$G$2/(D150-D149)*100</f>
        <v>9.31671284702462</v>
      </c>
    </row>
    <row r="151" spans="1:7" x14ac:dyDescent="0.25">
      <c r="A151" s="2">
        <v>1</v>
      </c>
      <c r="B151" s="2" t="s">
        <v>42</v>
      </c>
      <c r="C151" s="2">
        <v>147</v>
      </c>
      <c r="D151" s="11">
        <v>1791327117.4018652</v>
      </c>
      <c r="E151" s="7">
        <f>D151-D5</f>
        <v>159.321193218231</v>
      </c>
      <c r="F151" s="9">
        <v>2517</v>
      </c>
      <c r="G151" s="5">
        <f>(F151-F150)/$G$2/(D151-D150)*100</f>
        <v>8.35570324063837</v>
      </c>
    </row>
    <row r="152" spans="1:7" x14ac:dyDescent="0.25">
      <c r="A152" s="2">
        <v>1</v>
      </c>
      <c r="B152" s="2" t="s">
        <v>42</v>
      </c>
      <c r="C152" s="2">
        <v>148</v>
      </c>
      <c r="D152" s="11">
        <v>1791327118.4717932</v>
      </c>
      <c r="E152" s="7">
        <f>D152-D5</f>
        <v>160.391121149063</v>
      </c>
      <c r="F152" s="9">
        <v>2527</v>
      </c>
      <c r="G152" s="5">
        <f>(F152-F151)/$G$2/(D152-D151)*100</f>
        <v>9.3464239149497</v>
      </c>
    </row>
    <row r="153" spans="1:7" x14ac:dyDescent="0.25">
      <c r="A153" s="2">
        <v>1</v>
      </c>
      <c r="B153" s="2" t="s">
        <v>42</v>
      </c>
      <c r="C153" s="2">
        <v>149</v>
      </c>
      <c r="D153" s="11">
        <v>1791327119.5521617</v>
      </c>
      <c r="E153" s="7">
        <f>D153-D5</f>
        <v>161.471489667892</v>
      </c>
      <c r="F153" s="9">
        <v>2537</v>
      </c>
      <c r="G153" s="5">
        <f>(F153-F152)/$G$2/(D153-D152)*100</f>
        <v>9.25610088198025</v>
      </c>
    </row>
    <row r="154" spans="1:7" x14ac:dyDescent="0.25">
      <c r="A154" s="2">
        <v>1</v>
      </c>
      <c r="B154" s="2" t="s">
        <v>42</v>
      </c>
      <c r="C154" s="2">
        <v>150</v>
      </c>
      <c r="D154" s="11">
        <v>1791327120.6523228</v>
      </c>
      <c r="E154" s="7">
        <f>D154-D5</f>
        <v>162.571650743485</v>
      </c>
      <c r="F154" s="9">
        <v>2548</v>
      </c>
      <c r="G154" s="5">
        <f>(F154-F153)/$G$2/(D154-D153)*100</f>
        <v>9.99853589082895</v>
      </c>
    </row>
    <row r="155" spans="1:7" x14ac:dyDescent="0.25">
      <c r="A155" s="2">
        <v>1</v>
      </c>
      <c r="B155" s="2" t="s">
        <v>42</v>
      </c>
      <c r="C155" s="2">
        <v>151</v>
      </c>
      <c r="D155" s="11">
        <v>1791327121.7801976</v>
      </c>
      <c r="E155" s="7">
        <f>D155-D5</f>
        <v>163.699525594711</v>
      </c>
      <c r="F155" s="9">
        <v>2559</v>
      </c>
      <c r="G155" s="5">
        <f>(F155-F154)/$G$2/(D155-D154)*100</f>
        <v>9.75285510447824</v>
      </c>
    </row>
    <row r="156" spans="1:7" x14ac:dyDescent="0.25">
      <c r="A156" s="2">
        <v>1</v>
      </c>
      <c r="B156" s="2" t="s">
        <v>42</v>
      </c>
      <c r="C156" s="2">
        <v>152</v>
      </c>
      <c r="D156" s="11">
        <v>1791327122.8554597</v>
      </c>
      <c r="E156" s="7">
        <f>D156-D5</f>
        <v>164.774787664413</v>
      </c>
      <c r="F156" s="9">
        <v>2567</v>
      </c>
      <c r="G156" s="5">
        <f>(F156-F155)/$G$2/(D156-D155)*100</f>
        <v>7.44004668760987</v>
      </c>
    </row>
    <row r="157" spans="1:7" x14ac:dyDescent="0.25">
      <c r="A157" s="2">
        <v>1</v>
      </c>
      <c r="B157" s="2" t="s">
        <v>42</v>
      </c>
      <c r="C157" s="2">
        <v>153</v>
      </c>
      <c r="D157" s="11">
        <v>1791327123.9625187</v>
      </c>
      <c r="E157" s="7">
        <f>D157-D5</f>
        <v>165.881846666336</v>
      </c>
      <c r="F157" s="9">
        <v>2580</v>
      </c>
      <c r="G157" s="5">
        <f>(F157-F156)/$G$2/(D157-D156)*100</f>
        <v>11.742824887764</v>
      </c>
    </row>
    <row r="158" spans="1:7" x14ac:dyDescent="0.25">
      <c r="A158" s="2">
        <v>1</v>
      </c>
      <c r="B158" s="2" t="s">
        <v>42</v>
      </c>
      <c r="C158" s="2">
        <v>154</v>
      </c>
      <c r="D158" s="11">
        <v>1791327125.0655758</v>
      </c>
      <c r="E158" s="7">
        <f>D158-D5</f>
        <v>166.984903812408</v>
      </c>
      <c r="F158" s="9">
        <v>2587</v>
      </c>
      <c r="G158" s="5">
        <f>(F158-F157)/$G$2/(D158-D157)*100</f>
        <v>6.34599941165752</v>
      </c>
    </row>
    <row r="159" spans="1:7" x14ac:dyDescent="0.25">
      <c r="A159" s="2">
        <v>1</v>
      </c>
      <c r="B159" s="2" t="s">
        <v>42</v>
      </c>
      <c r="C159" s="2">
        <v>155</v>
      </c>
      <c r="D159" s="11">
        <v>1791327126.1554189</v>
      </c>
      <c r="E159" s="7">
        <f>D159-D5</f>
        <v>168.074746847153</v>
      </c>
      <c r="F159" s="9">
        <v>2617</v>
      </c>
      <c r="G159" s="5">
        <f>(F159-F158)/$G$2/(D159-D158)*100</f>
        <v>27.5268997861143</v>
      </c>
    </row>
    <row r="160" spans="1:7" x14ac:dyDescent="0.25">
      <c r="A160" s="2">
        <v>1</v>
      </c>
      <c r="B160" s="2" t="s">
        <v>42</v>
      </c>
      <c r="C160" s="2">
        <v>156</v>
      </c>
      <c r="D160" s="11">
        <v>1791327127.2278283</v>
      </c>
      <c r="E160" s="7">
        <f>D160-D5</f>
        <v>169.147156238556</v>
      </c>
      <c r="F160" s="9">
        <v>2628</v>
      </c>
      <c r="G160" s="5">
        <f>(F160-F159)/$G$2/(D160-D159)*100</f>
        <v>10.2572768274689</v>
      </c>
    </row>
    <row r="161" spans="1:7" x14ac:dyDescent="0.25">
      <c r="A161" s="2">
        <v>1</v>
      </c>
      <c r="B161" s="2" t="s">
        <v>42</v>
      </c>
      <c r="C161" s="2">
        <v>157</v>
      </c>
      <c r="D161" s="11">
        <v>1791327128.3093505</v>
      </c>
      <c r="E161" s="7">
        <f>D161-D5</f>
        <v>170.22867846489</v>
      </c>
      <c r="F161" s="9">
        <v>2639</v>
      </c>
      <c r="G161" s="5">
        <f>(F161-F160)/$G$2/(D161-D160)*100</f>
        <v>10.1708496895993</v>
      </c>
    </row>
    <row r="162" spans="1:7" x14ac:dyDescent="0.25">
      <c r="A162" s="2">
        <v>1</v>
      </c>
      <c r="B162" s="2" t="s">
        <v>42</v>
      </c>
      <c r="C162" s="2">
        <v>158</v>
      </c>
      <c r="D162" s="11">
        <v>1791327129.3947835</v>
      </c>
      <c r="E162" s="7">
        <f>D162-D5</f>
        <v>171.314111471176</v>
      </c>
      <c r="F162" s="9">
        <v>2650</v>
      </c>
      <c r="G162" s="5">
        <f>(F162-F161)/$G$2/(D162-D161)*100</f>
        <v>10.134204447709</v>
      </c>
    </row>
    <row r="163" spans="1:7" x14ac:dyDescent="0.25">
      <c r="A163" s="2">
        <v>1</v>
      </c>
      <c r="B163" s="2" t="s">
        <v>42</v>
      </c>
      <c r="C163" s="2">
        <v>159</v>
      </c>
      <c r="D163" s="11">
        <v>1791327130.5092309</v>
      </c>
      <c r="E163" s="7">
        <f>D163-D5</f>
        <v>172.428558826447</v>
      </c>
      <c r="F163" s="9">
        <v>2661</v>
      </c>
      <c r="G163" s="5">
        <f>(F163-F162)/$G$2/(D163-D162)*100</f>
        <v>9.87036305302299</v>
      </c>
    </row>
    <row r="164" spans="1:7" x14ac:dyDescent="0.25">
      <c r="A164" s="2">
        <v>1</v>
      </c>
      <c r="B164" s="2" t="s">
        <v>42</v>
      </c>
      <c r="C164" s="2">
        <v>160</v>
      </c>
      <c r="D164" s="11">
        <v>1791327131.612285</v>
      </c>
      <c r="E164" s="7">
        <f>D164-D5</f>
        <v>173.531612873077</v>
      </c>
      <c r="F164" s="9">
        <v>2672</v>
      </c>
      <c r="G164" s="5">
        <f>(F164-F163)/$G$2/(D164-D163)*100</f>
        <v>9.97231281059901</v>
      </c>
    </row>
    <row r="165" spans="1:7" x14ac:dyDescent="0.25">
      <c r="A165" s="2">
        <v>1</v>
      </c>
      <c r="B165" s="2" t="s">
        <v>42</v>
      </c>
      <c r="C165" s="2">
        <v>161</v>
      </c>
      <c r="D165" s="11">
        <v>1791327132.7248397</v>
      </c>
      <c r="E165" s="7">
        <f>D165-D5</f>
        <v>174.644167661667</v>
      </c>
      <c r="F165" s="9">
        <v>2683</v>
      </c>
      <c r="G165" s="5">
        <f>(F165-F164)/$G$2/(D165-D164)*100</f>
        <v>9.88715352521744</v>
      </c>
    </row>
    <row r="166" spans="1:7" x14ac:dyDescent="0.25">
      <c r="A166" s="2">
        <v>1</v>
      </c>
      <c r="B166" s="2" t="s">
        <v>42</v>
      </c>
      <c r="C166" s="2">
        <v>162</v>
      </c>
      <c r="D166" s="11">
        <v>1791327133.8201423</v>
      </c>
      <c r="E166" s="7">
        <f>D166-D5</f>
        <v>175.739470243454</v>
      </c>
      <c r="F166" s="9">
        <v>2694</v>
      </c>
      <c r="G166" s="5">
        <f>(F166-F165)/$G$2/(D166-D165)*100</f>
        <v>10.042886945498</v>
      </c>
    </row>
    <row r="167" spans="1:7" x14ac:dyDescent="0.25">
      <c r="A167" s="2">
        <v>1</v>
      </c>
      <c r="B167" s="2" t="s">
        <v>42</v>
      </c>
      <c r="C167" s="2">
        <v>163</v>
      </c>
      <c r="D167" s="11">
        <v>1791327134.9053211</v>
      </c>
      <c r="E167" s="7">
        <f>D167-D5</f>
        <v>176.824649095535</v>
      </c>
      <c r="F167" s="9">
        <v>2705</v>
      </c>
      <c r="G167" s="5">
        <f>(F167-F166)/$G$2/(D167-D166)*100</f>
        <v>10.1365779280556</v>
      </c>
    </row>
    <row r="168" spans="1:7" x14ac:dyDescent="0.25">
      <c r="A168" s="2">
        <v>1</v>
      </c>
      <c r="B168" s="2" t="s">
        <v>42</v>
      </c>
      <c r="C168" s="2">
        <v>164</v>
      </c>
      <c r="D168" s="11">
        <v>1791327136.0091386</v>
      </c>
      <c r="E168" s="7">
        <f>D168-D5</f>
        <v>177.928466558456</v>
      </c>
      <c r="F168" s="9">
        <v>2717</v>
      </c>
      <c r="G168" s="5">
        <f>(F168-F167)/$G$2/(D168-D167)*100</f>
        <v>10.871362705427</v>
      </c>
    </row>
    <row r="169" spans="1:7" x14ac:dyDescent="0.25">
      <c r="A169" s="2">
        <v>1</v>
      </c>
      <c r="B169" s="2" t="s">
        <v>42</v>
      </c>
      <c r="C169" s="2">
        <v>165</v>
      </c>
      <c r="D169" s="11">
        <v>1791327137.109259</v>
      </c>
      <c r="E169" s="7">
        <f>D169-D5</f>
        <v>179.028586864471</v>
      </c>
      <c r="F169" s="9">
        <v>2729</v>
      </c>
      <c r="G169" s="5">
        <f>(F169-F168)/$G$2/(D169-D168)*100</f>
        <v>10.9078979220626</v>
      </c>
    </row>
    <row r="170" spans="1:7" x14ac:dyDescent="0.25">
      <c r="A170" s="2">
        <v>1</v>
      </c>
      <c r="B170" s="2" t="s">
        <v>42</v>
      </c>
      <c r="C170" s="2">
        <v>166</v>
      </c>
      <c r="D170" s="11">
        <v>1791327138.2156327</v>
      </c>
      <c r="E170" s="7">
        <f>D170-D5</f>
        <v>180.134960651398</v>
      </c>
      <c r="F170" s="9">
        <v>2755</v>
      </c>
      <c r="G170" s="5">
        <f>(F170-F169)/$G$2/(D170-D169)*100</f>
        <v>23.5001952389285</v>
      </c>
    </row>
    <row r="171" spans="1:7" x14ac:dyDescent="0.25">
      <c r="A171" s="2">
        <v>1</v>
      </c>
      <c r="B171" s="2" t="s">
        <v>42</v>
      </c>
      <c r="C171" s="2">
        <v>167</v>
      </c>
      <c r="D171" s="11">
        <v>1791327139.318183</v>
      </c>
      <c r="E171" s="7">
        <f>D171-D5</f>
        <v>181.237510919571</v>
      </c>
      <c r="F171" s="9">
        <v>2768</v>
      </c>
      <c r="G171" s="5">
        <f>(F171-F170)/$G$2/(D171-D170)*100</f>
        <v>11.7908456197098</v>
      </c>
    </row>
    <row r="172" spans="1:7" x14ac:dyDescent="0.25">
      <c r="A172" s="2">
        <v>1</v>
      </c>
      <c r="B172" s="2" t="s">
        <v>42</v>
      </c>
      <c r="C172" s="2">
        <v>168</v>
      </c>
      <c r="D172" s="11">
        <v>1791327140.4030263</v>
      </c>
      <c r="E172" s="7">
        <f>D172-D5</f>
        <v>182.322354316711</v>
      </c>
      <c r="F172" s="9">
        <v>2778</v>
      </c>
      <c r="G172" s="5">
        <f>(F172-F171)/$G$2/(D172-D171)*100</f>
        <v>9.21792032505209</v>
      </c>
    </row>
    <row r="173" spans="1:7" x14ac:dyDescent="0.25">
      <c r="A173" s="2">
        <v>1</v>
      </c>
      <c r="B173" s="2" t="s">
        <v>42</v>
      </c>
      <c r="C173" s="2">
        <v>169</v>
      </c>
      <c r="D173" s="11">
        <v>1791327141.5070326</v>
      </c>
      <c r="E173" s="7">
        <f>D173-D5</f>
        <v>183.426360607147</v>
      </c>
      <c r="F173" s="9">
        <v>2789</v>
      </c>
      <c r="G173" s="5">
        <f>(F173-F172)/$G$2/(D173-D172)*100</f>
        <v>9.96371134412459</v>
      </c>
    </row>
    <row r="174" spans="1:7" x14ac:dyDescent="0.25">
      <c r="A174" s="2">
        <v>1</v>
      </c>
      <c r="B174" s="2" t="s">
        <v>42</v>
      </c>
      <c r="C174" s="2">
        <v>170</v>
      </c>
      <c r="D174" s="11">
        <v>1791327142.6034877</v>
      </c>
      <c r="E174" s="7">
        <f>D174-D5</f>
        <v>184.522815704346</v>
      </c>
      <c r="F174" s="9">
        <v>2801</v>
      </c>
      <c r="G174" s="5">
        <f>(F174-F173)/$G$2/(D174-D173)*100</f>
        <v>10.9443606315122</v>
      </c>
    </row>
    <row r="175" spans="1:7" x14ac:dyDescent="0.25">
      <c r="A175" s="2">
        <v>1</v>
      </c>
      <c r="B175" s="2" t="s">
        <v>42</v>
      </c>
      <c r="C175" s="2">
        <v>171</v>
      </c>
      <c r="D175" s="11">
        <v>1791327143.736158</v>
      </c>
      <c r="E175" s="7">
        <f>D175-D5</f>
        <v>185.655485868454</v>
      </c>
      <c r="F175" s="9">
        <v>2812</v>
      </c>
      <c r="G175" s="5">
        <f>(F175-F174)/$G$2/(D175-D174)*100</f>
        <v>9.71156506860056</v>
      </c>
    </row>
    <row r="176" spans="1:7" x14ac:dyDescent="0.25">
      <c r="A176" s="2">
        <v>1</v>
      </c>
      <c r="B176" s="2" t="s">
        <v>42</v>
      </c>
      <c r="C176" s="2">
        <v>172</v>
      </c>
      <c r="D176" s="11">
        <v>1791327144.8339026</v>
      </c>
      <c r="E176" s="7">
        <f>D176-D5</f>
        <v>186.753230571747</v>
      </c>
      <c r="F176" s="9">
        <v>2822</v>
      </c>
      <c r="G176" s="5">
        <f>(F176-F175)/$G$2/(D176-D175)*100</f>
        <v>9.10958619978172</v>
      </c>
    </row>
    <row r="177" spans="1:7" x14ac:dyDescent="0.25">
      <c r="A177" s="2">
        <v>1</v>
      </c>
      <c r="B177" s="2" t="s">
        <v>42</v>
      </c>
      <c r="C177" s="2">
        <v>173</v>
      </c>
      <c r="D177" s="11">
        <v>1791327145.9459283</v>
      </c>
      <c r="E177" s="7">
        <f>D177-D5</f>
        <v>187.865256309509</v>
      </c>
      <c r="F177" s="9">
        <v>2836</v>
      </c>
      <c r="G177" s="5">
        <f>(F177-F176)/$G$2/(D177-D176)*100</f>
        <v>12.5896366644984</v>
      </c>
    </row>
    <row r="178" spans="1:7" x14ac:dyDescent="0.25">
      <c r="A178" s="2">
        <v>1</v>
      </c>
      <c r="B178" s="2" t="s">
        <v>42</v>
      </c>
      <c r="C178" s="2">
        <v>174</v>
      </c>
      <c r="D178" s="11">
        <v>1791327147.0269418</v>
      </c>
      <c r="E178" s="7">
        <f>D178-D5</f>
        <v>188.946269750595</v>
      </c>
      <c r="F178" s="9">
        <v>2845</v>
      </c>
      <c r="G178" s="5">
        <f>(F178-F177)/$G$2/(D178-D177)*100</f>
        <v>8.32552090282987</v>
      </c>
    </row>
    <row r="179" spans="1:7" x14ac:dyDescent="0.25">
      <c r="A179" s="2">
        <v>1</v>
      </c>
      <c r="B179" s="2" t="s">
        <v>42</v>
      </c>
      <c r="C179" s="2">
        <v>175</v>
      </c>
      <c r="D179" s="11">
        <v>1791327148.09629</v>
      </c>
      <c r="E179" s="7">
        <f>D179-D5</f>
        <v>190.015618085861</v>
      </c>
      <c r="F179" s="9">
        <v>2855</v>
      </c>
      <c r="G179" s="5">
        <f>(F179-F178)/$G$2/(D179-D178)*100</f>
        <v>9.35148975334725</v>
      </c>
    </row>
    <row r="180" spans="1:7" x14ac:dyDescent="0.25">
      <c r="A180" s="2">
        <v>1</v>
      </c>
      <c r="B180" s="2" t="s">
        <v>42</v>
      </c>
      <c r="C180" s="2">
        <v>176</v>
      </c>
      <c r="D180" s="11">
        <v>1791327149.176535</v>
      </c>
      <c r="E180" s="7">
        <f>D180-D5</f>
        <v>191.095862865448</v>
      </c>
      <c r="F180" s="9">
        <v>2866</v>
      </c>
      <c r="G180" s="5">
        <f>(F180-F179)/$G$2/(D180-D179)*100</f>
        <v>10.1828772588076</v>
      </c>
    </row>
    <row r="181" spans="1:7" x14ac:dyDescent="0.25">
      <c r="A181" s="2">
        <v>1</v>
      </c>
      <c r="B181" s="2" t="s">
        <v>42</v>
      </c>
      <c r="C181" s="2">
        <v>177</v>
      </c>
      <c r="D181" s="11">
        <v>1791327150.2554767</v>
      </c>
      <c r="E181" s="7">
        <f>D181-D5</f>
        <v>192.1748046875</v>
      </c>
      <c r="F181" s="9">
        <v>2875</v>
      </c>
      <c r="G181" s="5">
        <f>(F181-F180)/$G$2/(D181-D180)*100</f>
        <v>8.3415062944573</v>
      </c>
    </row>
    <row r="182" spans="1:7" x14ac:dyDescent="0.25">
      <c r="A182" s="2">
        <v>1</v>
      </c>
      <c r="B182" s="2" t="s">
        <v>42</v>
      </c>
      <c r="C182" s="2">
        <v>178</v>
      </c>
      <c r="D182" s="11">
        <v>1791327151.3308322</v>
      </c>
      <c r="E182" s="7">
        <f>D182-D5</f>
        <v>193.250160217285</v>
      </c>
      <c r="F182" s="9">
        <v>2900</v>
      </c>
      <c r="G182" s="5">
        <f>(F182-F181)/$G$2/(D182-D181)*100</f>
        <v>23.2481252084087</v>
      </c>
    </row>
    <row r="183" spans="1:7" x14ac:dyDescent="0.25">
      <c r="A183" s="2">
        <v>1</v>
      </c>
      <c r="B183" s="2" t="s">
        <v>42</v>
      </c>
      <c r="C183" s="2">
        <v>179</v>
      </c>
      <c r="D183" s="11">
        <v>1791327152.4155335</v>
      </c>
      <c r="E183" s="7">
        <f>D183-D5</f>
        <v>194.334861516953</v>
      </c>
      <c r="F183" s="9">
        <v>2911</v>
      </c>
      <c r="G183" s="5">
        <f>(F183-F182)/$G$2/(D183-D182)*100</f>
        <v>10.1410406748598</v>
      </c>
    </row>
    <row r="184" spans="1:7" x14ac:dyDescent="0.25">
      <c r="A184" s="2">
        <v>1</v>
      </c>
      <c r="B184" s="2" t="s">
        <v>42</v>
      </c>
      <c r="C184" s="2">
        <v>180</v>
      </c>
      <c r="D184" s="11">
        <v>1791327153.5011408</v>
      </c>
      <c r="E184" s="7">
        <f>D184-D5</f>
        <v>195.42046880722</v>
      </c>
      <c r="F184" s="9">
        <v>2921</v>
      </c>
      <c r="G184" s="5">
        <f>(F184-F183)/$G$2/(D184-D183)*100</f>
        <v>9.21143408822526</v>
      </c>
    </row>
    <row r="185" spans="1:6" x14ac:dyDescent="0.25">
      <c r="A185" s="2">
        <v>2</v>
      </c>
      <c r="B185" s="2" t="s">
        <v>45</v>
      </c>
      <c r="C185" s="2">
        <v>1</v>
      </c>
      <c r="D185" s="11">
        <v>1791327298.209704</v>
      </c>
      <c r="E185" s="7">
        <f>D185-D185</f>
        <v>0</v>
      </c>
      <c r="F185" s="9">
        <v>1028</v>
      </c>
    </row>
    <row r="186" spans="1:7" x14ac:dyDescent="0.25">
      <c r="A186" s="2">
        <v>2</v>
      </c>
      <c r="B186" s="2" t="s">
        <v>45</v>
      </c>
      <c r="C186" s="2">
        <v>2</v>
      </c>
      <c r="D186" s="11">
        <v>1791327299.2682092</v>
      </c>
      <c r="E186" s="7">
        <f>D186-D185</f>
        <v>1.05850529670715</v>
      </c>
      <c r="F186" s="9">
        <v>1056</v>
      </c>
      <c r="G186" s="5">
        <f>(F186-F185)/$G$2/(D186-D185)*100</f>
        <v>26.4523947939644</v>
      </c>
    </row>
    <row r="187" spans="1:7" x14ac:dyDescent="0.25">
      <c r="A187" s="2">
        <v>2</v>
      </c>
      <c r="B187" s="2" t="s">
        <v>45</v>
      </c>
      <c r="C187" s="2">
        <v>3</v>
      </c>
      <c r="D187" s="11">
        <v>1791327300.3690567</v>
      </c>
      <c r="E187" s="7">
        <f>D187-D185</f>
        <v>2.15935277938843</v>
      </c>
      <c r="F187" s="9">
        <v>1068</v>
      </c>
      <c r="G187" s="5">
        <f>(F187-F186)/$G$2/(D187-D186)*100</f>
        <v>10.9006925925581</v>
      </c>
    </row>
    <row r="188" spans="1:7" x14ac:dyDescent="0.25">
      <c r="A188" s="2">
        <v>2</v>
      </c>
      <c r="B188" s="2" t="s">
        <v>45</v>
      </c>
      <c r="C188" s="2">
        <v>4</v>
      </c>
      <c r="D188" s="11">
        <v>1791327301.4657977</v>
      </c>
      <c r="E188" s="7">
        <f>D188-D185</f>
        <v>3.25609374046326</v>
      </c>
      <c r="F188" s="9">
        <v>1077</v>
      </c>
      <c r="G188" s="5">
        <f>(F188-F187)/$G$2/(D188-D187)*100</f>
        <v>8.20613100032282</v>
      </c>
    </row>
    <row r="189" spans="1:7" x14ac:dyDescent="0.25">
      <c r="A189" s="2">
        <v>2</v>
      </c>
      <c r="B189" s="2" t="s">
        <v>45</v>
      </c>
      <c r="C189" s="2">
        <v>5</v>
      </c>
      <c r="D189" s="11">
        <v>1791327302.560549</v>
      </c>
      <c r="E189" s="7">
        <f>D189-D185</f>
        <v>4.35084509849548</v>
      </c>
      <c r="F189" s="9">
        <v>1089</v>
      </c>
      <c r="G189" s="5">
        <f>(F189-F188)/$G$2/(D189-D188)*100</f>
        <v>10.961393116305</v>
      </c>
    </row>
    <row r="190" spans="1:7" x14ac:dyDescent="0.25">
      <c r="A190" s="2">
        <v>2</v>
      </c>
      <c r="B190" s="2" t="s">
        <v>45</v>
      </c>
      <c r="C190" s="2">
        <v>6</v>
      </c>
      <c r="D190" s="11">
        <v>1791327303.665998</v>
      </c>
      <c r="E190" s="7">
        <f>D190-D185</f>
        <v>5.45629405975342</v>
      </c>
      <c r="F190" s="9">
        <v>1107</v>
      </c>
      <c r="G190" s="5">
        <f>(F190-F189)/$G$2/(D190-D189)*100</f>
        <v>16.2829769901969</v>
      </c>
    </row>
    <row r="191" spans="1:7" x14ac:dyDescent="0.25">
      <c r="A191" s="2">
        <v>2</v>
      </c>
      <c r="B191" s="2" t="s">
        <v>45</v>
      </c>
      <c r="C191" s="2">
        <v>7</v>
      </c>
      <c r="D191" s="11">
        <v>1791327304.7745903</v>
      </c>
      <c r="E191" s="7">
        <f>D191-D185</f>
        <v>6.56488633155823</v>
      </c>
      <c r="F191" s="9">
        <v>1119</v>
      </c>
      <c r="G191" s="5">
        <f>(F191-F190)/$G$2/(D191-D190)*100</f>
        <v>10.8245387463001</v>
      </c>
    </row>
    <row r="192" spans="1:7" x14ac:dyDescent="0.25">
      <c r="A192" s="2">
        <v>2</v>
      </c>
      <c r="B192" s="2" t="s">
        <v>45</v>
      </c>
      <c r="C192" s="2">
        <v>8</v>
      </c>
      <c r="D192" s="11">
        <v>1791327305.8835943</v>
      </c>
      <c r="E192" s="7">
        <f>D192-D185</f>
        <v>7.67389035224915</v>
      </c>
      <c r="F192" s="9">
        <v>1131</v>
      </c>
      <c r="G192" s="5">
        <f>(F192-F191)/$G$2/(D192-D191)*100</f>
        <v>10.8205198323122</v>
      </c>
    </row>
    <row r="193" spans="1:7" x14ac:dyDescent="0.25">
      <c r="A193" s="2">
        <v>2</v>
      </c>
      <c r="B193" s="2" t="s">
        <v>45</v>
      </c>
      <c r="C193" s="2">
        <v>9</v>
      </c>
      <c r="D193" s="11">
        <v>1791327306.9923453</v>
      </c>
      <c r="E193" s="7">
        <f>D193-D185</f>
        <v>8.78264141082764</v>
      </c>
      <c r="F193" s="9">
        <v>1143</v>
      </c>
      <c r="G193" s="5">
        <f>(F193-F192)/$G$2/(D193-D192)*100</f>
        <v>10.8229885393616</v>
      </c>
    </row>
    <row r="194" spans="1:7" x14ac:dyDescent="0.25">
      <c r="A194" s="2">
        <v>2</v>
      </c>
      <c r="B194" s="2" t="s">
        <v>45</v>
      </c>
      <c r="C194" s="2">
        <v>10</v>
      </c>
      <c r="D194" s="11">
        <v>1791327308.1057124</v>
      </c>
      <c r="E194" s="7">
        <f>D194-D185</f>
        <v>9.89600849151611</v>
      </c>
      <c r="F194" s="9">
        <v>1156</v>
      </c>
      <c r="G194" s="5">
        <f>(F194-F193)/$G$2/(D194-D193)*100</f>
        <v>11.6762927748512</v>
      </c>
    </row>
    <row r="195" spans="1:7" x14ac:dyDescent="0.25">
      <c r="A195" s="2">
        <v>2</v>
      </c>
      <c r="B195" s="2" t="s">
        <v>45</v>
      </c>
      <c r="C195" s="2">
        <v>11</v>
      </c>
      <c r="D195" s="11">
        <v>1791327309.195426</v>
      </c>
      <c r="E195" s="7">
        <f>D195-D185</f>
        <v>10.9857220649719</v>
      </c>
      <c r="F195" s="9">
        <v>1168</v>
      </c>
      <c r="G195" s="5">
        <f>(F195-F194)/$G$2/(D195-D194)*100</f>
        <v>11.0120680262286</v>
      </c>
    </row>
    <row r="196" spans="1:7" x14ac:dyDescent="0.25">
      <c r="A196" s="2">
        <v>2</v>
      </c>
      <c r="B196" s="2" t="s">
        <v>45</v>
      </c>
      <c r="C196" s="2">
        <v>12</v>
      </c>
      <c r="D196" s="11">
        <v>1791327310.2604134</v>
      </c>
      <c r="E196" s="7">
        <f>D196-D185</f>
        <v>12.0507094860077</v>
      </c>
      <c r="F196" s="9">
        <v>1183</v>
      </c>
      <c r="G196" s="5">
        <f>(F196-F195)/$G$2/(D196-D195)*100</f>
        <v>14.0846733996272</v>
      </c>
    </row>
    <row r="197" spans="1:7" x14ac:dyDescent="0.25">
      <c r="A197" s="2">
        <v>2</v>
      </c>
      <c r="B197" s="2" t="s">
        <v>45</v>
      </c>
      <c r="C197" s="2">
        <v>13</v>
      </c>
      <c r="D197" s="11">
        <v>1791327311.3319938</v>
      </c>
      <c r="E197" s="7">
        <f>D197-D185</f>
        <v>13.1222898960114</v>
      </c>
      <c r="F197" s="9">
        <v>1207</v>
      </c>
      <c r="G197" s="5">
        <f>(F197-F196)/$G$2/(D197-D196)*100</f>
        <v>22.3968260113284</v>
      </c>
    </row>
    <row r="198" spans="1:7" x14ac:dyDescent="0.25">
      <c r="A198" s="2">
        <v>2</v>
      </c>
      <c r="B198" s="2" t="s">
        <v>45</v>
      </c>
      <c r="C198" s="2">
        <v>14</v>
      </c>
      <c r="D198" s="11">
        <v>1791327312.437923</v>
      </c>
      <c r="E198" s="7">
        <f>D198-D185</f>
        <v>14.2282190322876</v>
      </c>
      <c r="F198" s="9">
        <v>1219</v>
      </c>
      <c r="G198" s="5">
        <f>(F198-F197)/$G$2/(D198-D197)*100</f>
        <v>10.850604804938</v>
      </c>
    </row>
    <row r="199" spans="1:7" x14ac:dyDescent="0.25">
      <c r="A199" s="2">
        <v>2</v>
      </c>
      <c r="B199" s="2" t="s">
        <v>45</v>
      </c>
      <c r="C199" s="2">
        <v>15</v>
      </c>
      <c r="D199" s="11">
        <v>1791327313.544734</v>
      </c>
      <c r="E199" s="7">
        <f>D199-D185</f>
        <v>15.3350300788879</v>
      </c>
      <c r="F199" s="9">
        <v>1239</v>
      </c>
      <c r="G199" s="5">
        <f>(F199-F198)/$G$2/(D199-D198)*100</f>
        <v>18.0699316847547</v>
      </c>
    </row>
    <row r="200" spans="1:7" x14ac:dyDescent="0.25">
      <c r="A200" s="2">
        <v>2</v>
      </c>
      <c r="B200" s="2" t="s">
        <v>45</v>
      </c>
      <c r="C200" s="2">
        <v>16</v>
      </c>
      <c r="D200" s="11">
        <v>1791327314.6083891</v>
      </c>
      <c r="E200" s="7">
        <f>D200-D185</f>
        <v>16.3986852169037</v>
      </c>
      <c r="F200" s="9">
        <v>1242</v>
      </c>
      <c r="G200" s="5">
        <f>(F200-F199)/$G$2/(D200-D199)*100</f>
        <v>2.82046303616463</v>
      </c>
    </row>
    <row r="201" spans="1:7" x14ac:dyDescent="0.25">
      <c r="A201" s="2">
        <v>2</v>
      </c>
      <c r="B201" s="2" t="s">
        <v>45</v>
      </c>
      <c r="C201" s="2">
        <v>17</v>
      </c>
      <c r="D201" s="11">
        <v>1791327315.6740232</v>
      </c>
      <c r="E201" s="7">
        <f>D201-D185</f>
        <v>17.464319229126</v>
      </c>
      <c r="F201" s="9">
        <v>1243</v>
      </c>
      <c r="G201" s="5">
        <f>(F201-F200)/$G$2/(D201-D200)*100</f>
        <v>0.938408485962816</v>
      </c>
    </row>
    <row r="202" spans="1:7" x14ac:dyDescent="0.25">
      <c r="A202" s="2">
        <v>2</v>
      </c>
      <c r="B202" s="2" t="s">
        <v>45</v>
      </c>
      <c r="C202" s="2">
        <v>18</v>
      </c>
      <c r="D202" s="11">
        <v>1791327316.7350762</v>
      </c>
      <c r="E202" s="7">
        <f>D202-D185</f>
        <v>18.5253722667694</v>
      </c>
      <c r="F202" s="9">
        <v>1245</v>
      </c>
      <c r="G202" s="5">
        <f>(F202-F201)/$G$2/(D202-D201)*100</f>
        <v>1.88491991356242</v>
      </c>
    </row>
    <row r="203" spans="1:7" x14ac:dyDescent="0.25">
      <c r="A203" s="2">
        <v>2</v>
      </c>
      <c r="B203" s="2" t="s">
        <v>45</v>
      </c>
      <c r="C203" s="2">
        <v>19</v>
      </c>
      <c r="D203" s="11">
        <v>1791327317.8111818</v>
      </c>
      <c r="E203" s="7">
        <f>D203-D185</f>
        <v>19.6014778614044</v>
      </c>
      <c r="F203" s="9">
        <v>1246</v>
      </c>
      <c r="G203" s="5">
        <f>(F203-F202)/$G$2/(D203-D202)*100</f>
        <v>0.929276833970162</v>
      </c>
    </row>
    <row r="204" spans="1:7" x14ac:dyDescent="0.25">
      <c r="A204" s="2">
        <v>2</v>
      </c>
      <c r="B204" s="2" t="s">
        <v>45</v>
      </c>
      <c r="C204" s="2">
        <v>20</v>
      </c>
      <c r="D204" s="11">
        <v>1791327318.8845615</v>
      </c>
      <c r="E204" s="7">
        <f>D204-D185</f>
        <v>20.6748576164246</v>
      </c>
      <c r="F204" s="9">
        <v>1256</v>
      </c>
      <c r="G204" s="5">
        <f>(F204-F203)/$G$2/(D204-D203)*100</f>
        <v>9.31636725327687</v>
      </c>
    </row>
    <row r="205" spans="1:7" x14ac:dyDescent="0.25">
      <c r="A205" s="2">
        <v>2</v>
      </c>
      <c r="B205" s="2" t="s">
        <v>45</v>
      </c>
      <c r="C205" s="2">
        <v>21</v>
      </c>
      <c r="D205" s="11">
        <v>1791327320.026196</v>
      </c>
      <c r="E205" s="7">
        <f>D205-D185</f>
        <v>21.8164920806885</v>
      </c>
      <c r="F205" s="9">
        <v>1267</v>
      </c>
      <c r="G205" s="5">
        <f>(F205-F204)/$G$2/(D205-D204)*100</f>
        <v>9.6353082745206</v>
      </c>
    </row>
    <row r="206" spans="1:7" x14ac:dyDescent="0.25">
      <c r="A206" s="2">
        <v>2</v>
      </c>
      <c r="B206" s="2" t="s">
        <v>45</v>
      </c>
      <c r="C206" s="2">
        <v>22</v>
      </c>
      <c r="D206" s="11">
        <v>1791327321.1252732</v>
      </c>
      <c r="E206" s="7">
        <f>D206-D185</f>
        <v>22.9155693054199</v>
      </c>
      <c r="F206" s="9">
        <v>1278</v>
      </c>
      <c r="G206" s="5">
        <f>(F206-F205)/$G$2/(D206-D205)*100</f>
        <v>10.0083959092936</v>
      </c>
    </row>
    <row r="207" spans="1:7" x14ac:dyDescent="0.25">
      <c r="A207" s="2">
        <v>2</v>
      </c>
      <c r="B207" s="2" t="s">
        <v>45</v>
      </c>
      <c r="C207" s="2">
        <v>23</v>
      </c>
      <c r="D207" s="11">
        <v>1791327322.2277634</v>
      </c>
      <c r="E207" s="7">
        <f>D207-D185</f>
        <v>24.0180594921112</v>
      </c>
      <c r="F207" s="9">
        <v>1295</v>
      </c>
      <c r="G207" s="5">
        <f>(F207-F206)/$G$2/(D207-D206)*100</f>
        <v>15.4196383833757</v>
      </c>
    </row>
    <row r="208" spans="1:7" x14ac:dyDescent="0.25">
      <c r="A208" s="2">
        <v>2</v>
      </c>
      <c r="B208" s="2" t="s">
        <v>45</v>
      </c>
      <c r="C208" s="2">
        <v>24</v>
      </c>
      <c r="D208" s="11">
        <v>1791327323.3346055</v>
      </c>
      <c r="E208" s="7">
        <f>D208-D185</f>
        <v>25.1249015331268</v>
      </c>
      <c r="F208" s="9">
        <v>1322</v>
      </c>
      <c r="G208" s="5">
        <f>(F208-F207)/$G$2/(D208-D207)*100</f>
        <v>24.3937246684496</v>
      </c>
    </row>
    <row r="209" spans="1:7" x14ac:dyDescent="0.25">
      <c r="A209" s="2">
        <v>2</v>
      </c>
      <c r="B209" s="2" t="s">
        <v>45</v>
      </c>
      <c r="C209" s="2">
        <v>25</v>
      </c>
      <c r="D209" s="11">
        <v>1791327324.4202173</v>
      </c>
      <c r="E209" s="7">
        <f>D209-D185</f>
        <v>26.2105133533478</v>
      </c>
      <c r="F209" s="9">
        <v>1334</v>
      </c>
      <c r="G209" s="5">
        <f>(F209-F208)/$G$2/(D209-D208)*100</f>
        <v>11.0536747817997</v>
      </c>
    </row>
    <row r="210" spans="1:7" x14ac:dyDescent="0.25">
      <c r="A210" s="2">
        <v>2</v>
      </c>
      <c r="B210" s="2" t="s">
        <v>45</v>
      </c>
      <c r="C210" s="2">
        <v>26</v>
      </c>
      <c r="D210" s="11">
        <v>1791327325.5089552</v>
      </c>
      <c r="E210" s="7">
        <f>D210-D185</f>
        <v>27.2992513179779</v>
      </c>
      <c r="F210" s="9">
        <v>1344</v>
      </c>
      <c r="G210" s="5">
        <f>(F210-F209)/$G$2/(D210-D209)*100</f>
        <v>9.18494653890137</v>
      </c>
    </row>
    <row r="211" spans="1:7" x14ac:dyDescent="0.25">
      <c r="A211" s="2">
        <v>2</v>
      </c>
      <c r="B211" s="2" t="s">
        <v>45</v>
      </c>
      <c r="C211" s="2">
        <v>27</v>
      </c>
      <c r="D211" s="11">
        <v>1791327326.6043513</v>
      </c>
      <c r="E211" s="7">
        <f>D211-D185</f>
        <v>28.394647359848</v>
      </c>
      <c r="F211" s="9">
        <v>1354</v>
      </c>
      <c r="G211" s="5">
        <f>(F211-F210)/$G$2/(D211-D210)*100</f>
        <v>9.12911825290831</v>
      </c>
    </row>
    <row r="212" spans="1:7" x14ac:dyDescent="0.25">
      <c r="A212" s="2">
        <v>2</v>
      </c>
      <c r="B212" s="2" t="s">
        <v>45</v>
      </c>
      <c r="C212" s="2">
        <v>28</v>
      </c>
      <c r="D212" s="11">
        <v>1791327327.7086463</v>
      </c>
      <c r="E212" s="7">
        <f>D212-D185</f>
        <v>29.4989423751831</v>
      </c>
      <c r="F212" s="9">
        <v>1366</v>
      </c>
      <c r="G212" s="5">
        <f>(F212-F211)/$G$2/(D212-D211)*100</f>
        <v>10.8666613842849</v>
      </c>
    </row>
    <row r="213" spans="1:7" x14ac:dyDescent="0.25">
      <c r="A213" s="2">
        <v>2</v>
      </c>
      <c r="B213" s="2" t="s">
        <v>45</v>
      </c>
      <c r="C213" s="2">
        <v>29</v>
      </c>
      <c r="D213" s="11">
        <v>1791327328.8169694</v>
      </c>
      <c r="E213" s="7">
        <f>D213-D185</f>
        <v>30.6072654724121</v>
      </c>
      <c r="F213" s="9">
        <v>1384</v>
      </c>
      <c r="G213" s="5">
        <f>(F213-F212)/$G$2/(D213-D212)*100</f>
        <v>16.2407514965655</v>
      </c>
    </row>
    <row r="214" spans="1:7" x14ac:dyDescent="0.25">
      <c r="A214" s="2">
        <v>2</v>
      </c>
      <c r="B214" s="2" t="s">
        <v>45</v>
      </c>
      <c r="C214" s="2">
        <v>30</v>
      </c>
      <c r="D214" s="11">
        <v>1791327329.9263046</v>
      </c>
      <c r="E214" s="7">
        <f>D214-D185</f>
        <v>31.7166006565094</v>
      </c>
      <c r="F214" s="9">
        <v>1397</v>
      </c>
      <c r="G214" s="5">
        <f>(F214-F213)/$G$2/(D214-D213)*100</f>
        <v>11.7187304489748</v>
      </c>
    </row>
    <row r="215" spans="1:7" x14ac:dyDescent="0.25">
      <c r="A215" s="2">
        <v>2</v>
      </c>
      <c r="B215" s="2" t="s">
        <v>45</v>
      </c>
      <c r="C215" s="2">
        <v>31</v>
      </c>
      <c r="D215" s="11">
        <v>1791327331.063819</v>
      </c>
      <c r="E215" s="7">
        <f>D215-D185</f>
        <v>32.8541150093079</v>
      </c>
      <c r="F215" s="9">
        <v>1410</v>
      </c>
      <c r="G215" s="5">
        <f>(F215-F214)/$G$2/(D215-D214)*100</f>
        <v>11.4284272264504</v>
      </c>
    </row>
    <row r="216" spans="1:7" x14ac:dyDescent="0.25">
      <c r="A216" s="2">
        <v>2</v>
      </c>
      <c r="B216" s="2" t="s">
        <v>45</v>
      </c>
      <c r="C216" s="2">
        <v>32</v>
      </c>
      <c r="D216" s="11">
        <v>1791327332.167011</v>
      </c>
      <c r="E216" s="7">
        <f>D216-D185</f>
        <v>33.957307100296</v>
      </c>
      <c r="F216" s="9">
        <v>1423</v>
      </c>
      <c r="G216" s="5">
        <f>(F216-F215)/$G$2/(D216-D215)*100</f>
        <v>11.7839858590316</v>
      </c>
    </row>
    <row r="217" spans="1:7" x14ac:dyDescent="0.25">
      <c r="A217" s="2">
        <v>2</v>
      </c>
      <c r="B217" s="2" t="s">
        <v>45</v>
      </c>
      <c r="C217" s="2">
        <v>33</v>
      </c>
      <c r="D217" s="11">
        <v>1791327333.2731857</v>
      </c>
      <c r="E217" s="7">
        <f>D217-D185</f>
        <v>35.0634818077087</v>
      </c>
      <c r="F217" s="9">
        <v>1441</v>
      </c>
      <c r="G217" s="5">
        <f>(F217-F216)/$G$2/(D217-D216)*100</f>
        <v>16.2722939508362</v>
      </c>
    </row>
    <row r="218" spans="1:7" x14ac:dyDescent="0.25">
      <c r="A218" s="2">
        <v>2</v>
      </c>
      <c r="B218" s="2" t="s">
        <v>45</v>
      </c>
      <c r="C218" s="2">
        <v>34</v>
      </c>
      <c r="D218" s="11">
        <v>1791327334.3772452</v>
      </c>
      <c r="E218" s="7">
        <f>D218-D185</f>
        <v>36.1675412654877</v>
      </c>
      <c r="F218" s="9">
        <v>1464</v>
      </c>
      <c r="G218" s="5">
        <f>(F218-F217)/$G$2/(D218-D217)*100</f>
        <v>20.8322113795119</v>
      </c>
    </row>
    <row r="219" spans="1:7" x14ac:dyDescent="0.25">
      <c r="A219" s="2">
        <v>2</v>
      </c>
      <c r="B219" s="2" t="s">
        <v>45</v>
      </c>
      <c r="C219" s="2">
        <v>35</v>
      </c>
      <c r="D219" s="11">
        <v>1791327335.4534326</v>
      </c>
      <c r="E219" s="7">
        <f>D219-D185</f>
        <v>37.2437286376953</v>
      </c>
      <c r="F219" s="9">
        <v>1484</v>
      </c>
      <c r="G219" s="5">
        <f>(F219-F218)/$G$2/(D219-D218)*100</f>
        <v>18.5841243973834</v>
      </c>
    </row>
    <row r="220" spans="1:7" x14ac:dyDescent="0.25">
      <c r="A220" s="2">
        <v>2</v>
      </c>
      <c r="B220" s="2" t="s">
        <v>45</v>
      </c>
      <c r="C220" s="2">
        <v>36</v>
      </c>
      <c r="D220" s="11">
        <v>1791327336.5574803</v>
      </c>
      <c r="E220" s="7">
        <f>D220-D185</f>
        <v>38.3477764129639</v>
      </c>
      <c r="F220" s="9">
        <v>1496</v>
      </c>
      <c r="G220" s="5">
        <f>(F220-F219)/$G$2/(D220-D219)*100</f>
        <v>10.8690948605744</v>
      </c>
    </row>
    <row r="221" spans="1:7" x14ac:dyDescent="0.25">
      <c r="A221" s="2">
        <v>2</v>
      </c>
      <c r="B221" s="2" t="s">
        <v>45</v>
      </c>
      <c r="C221" s="2">
        <v>37</v>
      </c>
      <c r="D221" s="11">
        <v>1791327337.6565316</v>
      </c>
      <c r="E221" s="7">
        <f>D221-D185</f>
        <v>39.4468276500702</v>
      </c>
      <c r="F221" s="9">
        <v>1509</v>
      </c>
      <c r="G221" s="5">
        <f>(F221-F220)/$G$2/(D221-D220)*100</f>
        <v>11.828383937975</v>
      </c>
    </row>
    <row r="222" spans="1:7" x14ac:dyDescent="0.25">
      <c r="A222" s="2">
        <v>2</v>
      </c>
      <c r="B222" s="2" t="s">
        <v>45</v>
      </c>
      <c r="C222" s="2">
        <v>38</v>
      </c>
      <c r="D222" s="11">
        <v>1791327338.7450101</v>
      </c>
      <c r="E222" s="7">
        <f>D222-D185</f>
        <v>40.5353062152863</v>
      </c>
      <c r="F222" s="9">
        <v>1521</v>
      </c>
      <c r="G222" s="5">
        <f>(F222-F221)/$G$2/(D222-D221)*100</f>
        <v>11.0245625256001</v>
      </c>
    </row>
    <row r="223" spans="1:7" x14ac:dyDescent="0.25">
      <c r="A223" s="2">
        <v>2</v>
      </c>
      <c r="B223" s="2" t="s">
        <v>45</v>
      </c>
      <c r="C223" s="2">
        <v>39</v>
      </c>
      <c r="D223" s="11">
        <v>1791327339.8248193</v>
      </c>
      <c r="E223" s="7">
        <f>D223-D185</f>
        <v>41.615115404129</v>
      </c>
      <c r="F223" s="9">
        <v>1533</v>
      </c>
      <c r="G223" s="5">
        <f>(F223-F222)/$G$2/(D223-D222)*100</f>
        <v>11.1130745357523</v>
      </c>
    </row>
    <row r="224" spans="1:7" x14ac:dyDescent="0.25">
      <c r="A224" s="2">
        <v>2</v>
      </c>
      <c r="B224" s="2" t="s">
        <v>45</v>
      </c>
      <c r="C224" s="2">
        <v>40</v>
      </c>
      <c r="D224" s="11">
        <v>1791327340.9454966</v>
      </c>
      <c r="E224" s="7">
        <f>D224-D185</f>
        <v>42.7357926368713</v>
      </c>
      <c r="F224" s="9">
        <v>1545</v>
      </c>
      <c r="G224" s="5">
        <f>(F224-F223)/$G$2/(D224-D223)*100</f>
        <v>10.7078109998147</v>
      </c>
    </row>
    <row r="225" spans="1:7" x14ac:dyDescent="0.25">
      <c r="A225" s="2">
        <v>2</v>
      </c>
      <c r="B225" s="2" t="s">
        <v>45</v>
      </c>
      <c r="C225" s="2">
        <v>41</v>
      </c>
      <c r="D225" s="11">
        <v>1791327342.019939</v>
      </c>
      <c r="E225" s="7">
        <f>D225-D185</f>
        <v>43.8102350234985</v>
      </c>
      <c r="F225" s="9">
        <v>1547</v>
      </c>
      <c r="G225" s="5">
        <f>(F225-F224)/$G$2/(D225-D224)*100</f>
        <v>1.86143065918894</v>
      </c>
    </row>
    <row r="226" spans="1:7" x14ac:dyDescent="0.25">
      <c r="A226" s="2">
        <v>2</v>
      </c>
      <c r="B226" s="2" t="s">
        <v>45</v>
      </c>
      <c r="C226" s="2">
        <v>42</v>
      </c>
      <c r="D226" s="11">
        <v>1791327343.0757902</v>
      </c>
      <c r="E226" s="7">
        <f>D226-D185</f>
        <v>44.8660862445831</v>
      </c>
      <c r="F226" s="9">
        <v>1560</v>
      </c>
      <c r="G226" s="5">
        <f>(F226-F225)/$G$2/(D226-D225)*100</f>
        <v>12.3123407355121</v>
      </c>
    </row>
    <row r="227" spans="1:7" x14ac:dyDescent="0.25">
      <c r="A227" s="2">
        <v>2</v>
      </c>
      <c r="B227" s="2" t="s">
        <v>45</v>
      </c>
      <c r="C227" s="2">
        <v>43</v>
      </c>
      <c r="D227" s="11">
        <v>1791327344.1593215</v>
      </c>
      <c r="E227" s="7">
        <f>D227-D185</f>
        <v>45.9496176242828</v>
      </c>
      <c r="F227" s="9">
        <v>1568</v>
      </c>
      <c r="G227" s="5">
        <f>(F227-F226)/$G$2/(D227-D226)*100</f>
        <v>7.38326563483297</v>
      </c>
    </row>
    <row r="228" spans="1:7" x14ac:dyDescent="0.25">
      <c r="A228" s="2">
        <v>2</v>
      </c>
      <c r="B228" s="2" t="s">
        <v>45</v>
      </c>
      <c r="C228" s="2">
        <v>44</v>
      </c>
      <c r="D228" s="11">
        <v>1791327345.2153196</v>
      </c>
      <c r="E228" s="7">
        <f>D228-D185</f>
        <v>47.0056157112122</v>
      </c>
      <c r="F228" s="9">
        <v>1577</v>
      </c>
      <c r="G228" s="5">
        <f>(F228-F227)/$G$2/(D228-D227)*100</f>
        <v>8.52274271269809</v>
      </c>
    </row>
    <row r="229" spans="1:7" x14ac:dyDescent="0.25">
      <c r="A229" s="2">
        <v>2</v>
      </c>
      <c r="B229" s="2" t="s">
        <v>45</v>
      </c>
      <c r="C229" s="2">
        <v>45</v>
      </c>
      <c r="D229" s="11">
        <v>1791327346.270316</v>
      </c>
      <c r="E229" s="7">
        <f>D229-D185</f>
        <v>48.0606119632721</v>
      </c>
      <c r="F229" s="9">
        <v>1588</v>
      </c>
      <c r="G229" s="5">
        <f>(F229-F228)/$G$2/(D229-D228)*100</f>
        <v>10.4265773252956</v>
      </c>
    </row>
    <row r="230" spans="1:7" x14ac:dyDescent="0.25">
      <c r="A230" s="2">
        <v>2</v>
      </c>
      <c r="B230" s="2" t="s">
        <v>45</v>
      </c>
      <c r="C230" s="2">
        <v>46</v>
      </c>
      <c r="D230" s="11">
        <v>1791327347.3495219</v>
      </c>
      <c r="E230" s="7">
        <f>D230-D185</f>
        <v>49.1398179531097</v>
      </c>
      <c r="F230" s="9">
        <v>1613</v>
      </c>
      <c r="G230" s="5">
        <f>(F230-F229)/$G$2/(D230-D229)*100</f>
        <v>23.1651790625819</v>
      </c>
    </row>
    <row r="231" spans="1:7" x14ac:dyDescent="0.25">
      <c r="A231" s="2">
        <v>2</v>
      </c>
      <c r="B231" s="2" t="s">
        <v>45</v>
      </c>
      <c r="C231" s="2">
        <v>47</v>
      </c>
      <c r="D231" s="11">
        <v>1791327348.4515977</v>
      </c>
      <c r="E231" s="7">
        <f>D231-D185</f>
        <v>50.2418937683106</v>
      </c>
      <c r="F231" s="9">
        <v>1629</v>
      </c>
      <c r="G231" s="5">
        <f>(F231-F230)/$G$2/(D231-D230)*100</f>
        <v>14.5180574505981</v>
      </c>
    </row>
    <row r="232" spans="1:7" x14ac:dyDescent="0.25">
      <c r="A232" s="2">
        <v>2</v>
      </c>
      <c r="B232" s="2" t="s">
        <v>45</v>
      </c>
      <c r="C232" s="2">
        <v>48</v>
      </c>
      <c r="D232" s="11">
        <v>1791327349.5331063</v>
      </c>
      <c r="E232" s="7">
        <f>D232-D185</f>
        <v>51.3234024047852</v>
      </c>
      <c r="F232" s="9">
        <v>1641</v>
      </c>
      <c r="G232" s="5">
        <f>(F232-F231)/$G$2/(D232-D231)*100</f>
        <v>11.0956118104765</v>
      </c>
    </row>
    <row r="233" spans="1:7" x14ac:dyDescent="0.25">
      <c r="A233" s="2">
        <v>2</v>
      </c>
      <c r="B233" s="2" t="s">
        <v>45</v>
      </c>
      <c r="C233" s="2">
        <v>49</v>
      </c>
      <c r="D233" s="11">
        <v>1791327350.6301453</v>
      </c>
      <c r="E233" s="7">
        <f>D233-D185</f>
        <v>52.4204413890839</v>
      </c>
      <c r="F233" s="9">
        <v>1653</v>
      </c>
      <c r="G233" s="5">
        <f>(F233-F232)/$G$2/(D233-D232)*100</f>
        <v>10.9385356142755</v>
      </c>
    </row>
    <row r="234" spans="1:7" x14ac:dyDescent="0.25">
      <c r="A234" s="2">
        <v>2</v>
      </c>
      <c r="B234" s="2" t="s">
        <v>45</v>
      </c>
      <c r="C234" s="2">
        <v>50</v>
      </c>
      <c r="D234" s="11">
        <v>1791327351.7339637</v>
      </c>
      <c r="E234" s="7">
        <f>D234-D185</f>
        <v>53.5242598056793</v>
      </c>
      <c r="F234" s="9">
        <v>1664</v>
      </c>
      <c r="G234" s="5">
        <f>(F234-F233)/$G$2/(D234-D233)*100</f>
        <v>9.96540720341271</v>
      </c>
    </row>
    <row r="235" spans="1:7" x14ac:dyDescent="0.25">
      <c r="A235" s="2">
        <v>2</v>
      </c>
      <c r="B235" s="2" t="s">
        <v>45</v>
      </c>
      <c r="C235" s="2">
        <v>51</v>
      </c>
      <c r="D235" s="11">
        <v>1791327352.8697028</v>
      </c>
      <c r="E235" s="7">
        <f>D235-D185</f>
        <v>54.6599988937378</v>
      </c>
      <c r="F235" s="9">
        <v>1677</v>
      </c>
      <c r="G235" s="5">
        <f>(F235-F234)/$G$2/(D235-D234)*100</f>
        <v>11.4462909101978</v>
      </c>
    </row>
    <row r="236" spans="1:7" x14ac:dyDescent="0.25">
      <c r="A236" s="2">
        <v>2</v>
      </c>
      <c r="B236" s="2" t="s">
        <v>45</v>
      </c>
      <c r="C236" s="2">
        <v>52</v>
      </c>
      <c r="D236" s="11">
        <v>1791327353.971105</v>
      </c>
      <c r="E236" s="7">
        <f>D236-D185</f>
        <v>55.7614011764526</v>
      </c>
      <c r="F236" s="9">
        <v>1689</v>
      </c>
      <c r="G236" s="5">
        <f>(F236-F235)/$G$2/(D236-D235)*100</f>
        <v>10.8952016791006</v>
      </c>
    </row>
    <row r="237" spans="1:7" x14ac:dyDescent="0.25">
      <c r="A237" s="2">
        <v>2</v>
      </c>
      <c r="B237" s="2" t="s">
        <v>45</v>
      </c>
      <c r="C237" s="2">
        <v>53</v>
      </c>
      <c r="D237" s="11">
        <v>1791327355.0713263</v>
      </c>
      <c r="E237" s="7">
        <f>D237-D185</f>
        <v>56.8616223335266</v>
      </c>
      <c r="F237" s="9">
        <v>1702</v>
      </c>
      <c r="G237" s="5">
        <f>(F237-F236)/$G$2/(D237-D236)*100</f>
        <v>11.8158062280618</v>
      </c>
    </row>
    <row r="238" spans="1:7" x14ac:dyDescent="0.25">
      <c r="A238" s="2">
        <v>2</v>
      </c>
      <c r="B238" s="2" t="s">
        <v>45</v>
      </c>
      <c r="C238" s="2">
        <v>54</v>
      </c>
      <c r="D238" s="11">
        <v>1791327356.1454704</v>
      </c>
      <c r="E238" s="7">
        <f>D238-D185</f>
        <v>57.9357664585114</v>
      </c>
      <c r="F238" s="9">
        <v>1714</v>
      </c>
      <c r="G238" s="5">
        <f>(F238-F237)/$G$2/(D238-D237)*100</f>
        <v>11.171685177881</v>
      </c>
    </row>
    <row r="239" spans="1:7" x14ac:dyDescent="0.25">
      <c r="A239" s="2">
        <v>2</v>
      </c>
      <c r="B239" s="2" t="s">
        <v>45</v>
      </c>
      <c r="C239" s="2">
        <v>55</v>
      </c>
      <c r="D239" s="11">
        <v>1791327357.2390459</v>
      </c>
      <c r="E239" s="7">
        <f>D239-D185</f>
        <v>59.0293419361115</v>
      </c>
      <c r="F239" s="9">
        <v>1726</v>
      </c>
      <c r="G239" s="5">
        <f>(F239-F238)/$G$2/(D239-D238)*100</f>
        <v>10.9731794885659</v>
      </c>
    </row>
    <row r="240" spans="1:7" x14ac:dyDescent="0.25">
      <c r="A240" s="2">
        <v>2</v>
      </c>
      <c r="B240" s="2" t="s">
        <v>45</v>
      </c>
      <c r="C240" s="2">
        <v>56</v>
      </c>
      <c r="D240" s="11">
        <v>1791327358.3356683</v>
      </c>
      <c r="E240" s="7">
        <f>D240-D185</f>
        <v>60.1259644031525</v>
      </c>
      <c r="F240" s="9">
        <v>1753</v>
      </c>
      <c r="G240" s="5">
        <f>(F240-F239)/$G$2/(D240-D239)*100</f>
        <v>24.6210531075962</v>
      </c>
    </row>
    <row r="241" spans="1:7" x14ac:dyDescent="0.25">
      <c r="A241" s="2">
        <v>2</v>
      </c>
      <c r="B241" s="2" t="s">
        <v>45</v>
      </c>
      <c r="C241" s="2">
        <v>57</v>
      </c>
      <c r="D241" s="11">
        <v>1791327359.4155116</v>
      </c>
      <c r="E241" s="7">
        <f>D241-D185</f>
        <v>61.2058076858521</v>
      </c>
      <c r="F241" s="9">
        <v>1773</v>
      </c>
      <c r="G241" s="5">
        <f>(F241-F240)/$G$2/(D241-D240)*100</f>
        <v>18.5212061050196</v>
      </c>
    </row>
    <row r="242" spans="1:7" x14ac:dyDescent="0.25">
      <c r="A242" s="2">
        <v>2</v>
      </c>
      <c r="B242" s="2" t="s">
        <v>45</v>
      </c>
      <c r="C242" s="2">
        <v>58</v>
      </c>
      <c r="D242" s="11">
        <v>1791327360.5182743</v>
      </c>
      <c r="E242" s="7">
        <f>D242-D185</f>
        <v>62.3085703849793</v>
      </c>
      <c r="F242" s="9">
        <v>1785</v>
      </c>
      <c r="G242" s="5">
        <f>(F242-F241)/$G$2/(D242-D241)*100</f>
        <v>10.8817608806479</v>
      </c>
    </row>
    <row r="243" spans="1:7" x14ac:dyDescent="0.25">
      <c r="A243" s="2">
        <v>2</v>
      </c>
      <c r="B243" s="2" t="s">
        <v>45</v>
      </c>
      <c r="C243" s="2">
        <v>59</v>
      </c>
      <c r="D243" s="11">
        <v>1791327361.6230145</v>
      </c>
      <c r="E243" s="7">
        <f>D243-D185</f>
        <v>63.4133105278015</v>
      </c>
      <c r="F243" s="9">
        <v>1798</v>
      </c>
      <c r="G243" s="5">
        <f>(F243-F242)/$G$2/(D243-D242)*100</f>
        <v>11.7674731786147</v>
      </c>
    </row>
    <row r="244" spans="1:7" x14ac:dyDescent="0.25">
      <c r="A244" s="2">
        <v>2</v>
      </c>
      <c r="B244" s="2" t="s">
        <v>45</v>
      </c>
      <c r="C244" s="2">
        <v>60</v>
      </c>
      <c r="D244" s="11">
        <v>1791327362.7044537</v>
      </c>
      <c r="E244" s="7">
        <f>D244-D185</f>
        <v>64.4947497844696</v>
      </c>
      <c r="F244" s="9">
        <v>1810</v>
      </c>
      <c r="G244" s="5">
        <f>(F244-F243)/$G$2/(D244-D243)*100</f>
        <v>11.0963236501807</v>
      </c>
    </row>
    <row r="245" spans="1:7" x14ac:dyDescent="0.25">
      <c r="A245" s="2">
        <v>2</v>
      </c>
      <c r="B245" s="2" t="s">
        <v>45</v>
      </c>
      <c r="C245" s="2">
        <v>61</v>
      </c>
      <c r="D245" s="11">
        <v>1791327363.841998</v>
      </c>
      <c r="E245" s="7">
        <f>D245-D185</f>
        <v>65.632294178009</v>
      </c>
      <c r="F245" s="9">
        <v>1826</v>
      </c>
      <c r="G245" s="5">
        <f>(F245-F244)/$G$2/(D245-D244)*100</f>
        <v>14.065385132106</v>
      </c>
    </row>
    <row r="246" spans="1:7" x14ac:dyDescent="0.25">
      <c r="A246" s="2">
        <v>2</v>
      </c>
      <c r="B246" s="2" t="s">
        <v>45</v>
      </c>
      <c r="C246" s="2">
        <v>62</v>
      </c>
      <c r="D246" s="11">
        <v>1791327364.9513466</v>
      </c>
      <c r="E246" s="7">
        <f>D246-D185</f>
        <v>66.7416427135468</v>
      </c>
      <c r="F246" s="9">
        <v>1839</v>
      </c>
      <c r="G246" s="5">
        <f>(F246-F245)/$G$2/(D246-D245)*100</f>
        <v>11.718589409503</v>
      </c>
    </row>
    <row r="247" spans="1:7" x14ac:dyDescent="0.25">
      <c r="A247" s="2">
        <v>2</v>
      </c>
      <c r="B247" s="2" t="s">
        <v>45</v>
      </c>
      <c r="C247" s="2">
        <v>63</v>
      </c>
      <c r="D247" s="11">
        <v>1791327366.0333161</v>
      </c>
      <c r="E247" s="7">
        <f>D247-D185</f>
        <v>67.8236122131348</v>
      </c>
      <c r="F247" s="9">
        <v>1851</v>
      </c>
      <c r="G247" s="5">
        <f>(F247-F246)/$G$2/(D247-D246)*100</f>
        <v>11.090885653033</v>
      </c>
    </row>
    <row r="248" spans="1:7" x14ac:dyDescent="0.25">
      <c r="A248" s="2">
        <v>2</v>
      </c>
      <c r="B248" s="2" t="s">
        <v>45</v>
      </c>
      <c r="C248" s="2">
        <v>64</v>
      </c>
      <c r="D248" s="11">
        <v>1791327367.1376827</v>
      </c>
      <c r="E248" s="7">
        <f>D248-D185</f>
        <v>68.9279787540436</v>
      </c>
      <c r="F248" s="9">
        <v>1862</v>
      </c>
      <c r="G248" s="5">
        <f>(F248-F247)/$G$2/(D248-D247)*100</f>
        <v>9.96046112638273</v>
      </c>
    </row>
    <row r="249" spans="1:7" x14ac:dyDescent="0.25">
      <c r="A249" s="2">
        <v>2</v>
      </c>
      <c r="B249" s="2" t="s">
        <v>45</v>
      </c>
      <c r="C249" s="2">
        <v>65</v>
      </c>
      <c r="D249" s="11">
        <v>1791327368.2435899</v>
      </c>
      <c r="E249" s="7">
        <f>D249-D185</f>
        <v>70.0338859558106</v>
      </c>
      <c r="F249" s="9">
        <v>1873</v>
      </c>
      <c r="G249" s="5">
        <f>(F249-F248)/$G$2/(D249-D248)*100</f>
        <v>9.94658501402713</v>
      </c>
    </row>
    <row r="250" spans="1:7" x14ac:dyDescent="0.25">
      <c r="A250" s="2">
        <v>2</v>
      </c>
      <c r="B250" s="2" t="s">
        <v>45</v>
      </c>
      <c r="C250" s="2">
        <v>66</v>
      </c>
      <c r="D250" s="11">
        <v>1791327369.3493028</v>
      </c>
      <c r="E250" s="7">
        <f>D250-D185</f>
        <v>71.1395988464356</v>
      </c>
      <c r="F250" s="9">
        <v>1886</v>
      </c>
      <c r="G250" s="5">
        <f>(F250-F249)/$G$2/(D250-D249)*100</f>
        <v>11.7571207772135</v>
      </c>
    </row>
    <row r="251" spans="1:7" x14ac:dyDescent="0.25">
      <c r="A251" s="2">
        <v>2</v>
      </c>
      <c r="B251" s="2" t="s">
        <v>45</v>
      </c>
      <c r="C251" s="2">
        <v>67</v>
      </c>
      <c r="D251" s="11">
        <v>1791327370.4554336</v>
      </c>
      <c r="E251" s="7">
        <f>D251-D185</f>
        <v>72.2457296848297</v>
      </c>
      <c r="F251" s="9">
        <v>1914</v>
      </c>
      <c r="G251" s="5">
        <f>(F251-F250)/$G$2/(D251-D250)*100</f>
        <v>25.3134611459249</v>
      </c>
    </row>
    <row r="252" spans="1:7" x14ac:dyDescent="0.25">
      <c r="A252" s="2">
        <v>2</v>
      </c>
      <c r="B252" s="2" t="s">
        <v>45</v>
      </c>
      <c r="C252" s="2">
        <v>68</v>
      </c>
      <c r="D252" s="11">
        <v>1791327371.5075493</v>
      </c>
      <c r="E252" s="7">
        <f>D252-D185</f>
        <v>73.2978453636169</v>
      </c>
      <c r="F252" s="9">
        <v>1924</v>
      </c>
      <c r="G252" s="5">
        <f>(F252-F251)/$G$2/(D252-D251)*100</f>
        <v>9.50465828199324</v>
      </c>
    </row>
    <row r="253" spans="1:7" x14ac:dyDescent="0.25">
      <c r="A253" s="2">
        <v>2</v>
      </c>
      <c r="B253" s="2" t="s">
        <v>45</v>
      </c>
      <c r="C253" s="2">
        <v>69</v>
      </c>
      <c r="D253" s="11">
        <v>1791327372.544738</v>
      </c>
      <c r="E253" s="7">
        <f>D253-D185</f>
        <v>74.3350341320038</v>
      </c>
      <c r="F253" s="9">
        <v>1932</v>
      </c>
      <c r="G253" s="5">
        <f>(F253-F252)/$G$2/(D253-D252)*100</f>
        <v>7.71315718395462</v>
      </c>
    </row>
    <row r="254" spans="1:7" x14ac:dyDescent="0.25">
      <c r="A254" s="2">
        <v>2</v>
      </c>
      <c r="B254" s="2" t="s">
        <v>45</v>
      </c>
      <c r="C254" s="2">
        <v>70</v>
      </c>
      <c r="D254" s="11">
        <v>1791327373.6097162</v>
      </c>
      <c r="E254" s="7">
        <f>D254-D185</f>
        <v>75.400012254715</v>
      </c>
      <c r="F254" s="9">
        <v>1941</v>
      </c>
      <c r="G254" s="5">
        <f>(F254-F253)/$G$2/(D254-D253)*100</f>
        <v>8.4508778237511</v>
      </c>
    </row>
    <row r="255" spans="1:7" x14ac:dyDescent="0.25">
      <c r="A255" s="2">
        <v>2</v>
      </c>
      <c r="B255" s="2" t="s">
        <v>45</v>
      </c>
      <c r="C255" s="2">
        <v>71</v>
      </c>
      <c r="D255" s="11">
        <v>1791327374.6679595</v>
      </c>
      <c r="E255" s="7">
        <f>D255-D185</f>
        <v>76.4582555294037</v>
      </c>
      <c r="F255" s="9">
        <v>1946</v>
      </c>
      <c r="G255" s="5">
        <f>(F255-F254)/$G$2/(D255-D254)*100</f>
        <v>4.72481150562543</v>
      </c>
    </row>
    <row r="256" spans="1:7" x14ac:dyDescent="0.25">
      <c r="A256" s="2">
        <v>2</v>
      </c>
      <c r="B256" s="2" t="s">
        <v>45</v>
      </c>
      <c r="C256" s="2">
        <v>72</v>
      </c>
      <c r="D256" s="11">
        <v>1791327375.747339</v>
      </c>
      <c r="E256" s="7">
        <f>D256-D185</f>
        <v>77.5376350879669</v>
      </c>
      <c r="F256" s="9">
        <v>1953</v>
      </c>
      <c r="G256" s="5">
        <f>(F256-F255)/$G$2/(D256-D255)*100</f>
        <v>6.48520712150389</v>
      </c>
    </row>
    <row r="257" spans="1:7" x14ac:dyDescent="0.25">
      <c r="A257" s="2">
        <v>2</v>
      </c>
      <c r="B257" s="2" t="s">
        <v>45</v>
      </c>
      <c r="C257" s="2">
        <v>73</v>
      </c>
      <c r="D257" s="11">
        <v>1791327376.8197596</v>
      </c>
      <c r="E257" s="7">
        <f>D257-D185</f>
        <v>78.6100556850433</v>
      </c>
      <c r="F257" s="9">
        <v>1963</v>
      </c>
      <c r="G257" s="5">
        <f>(F257-F256)/$G$2/(D257-D256)*100</f>
        <v>9.324699681507</v>
      </c>
    </row>
    <row r="258" spans="1:7" x14ac:dyDescent="0.25">
      <c r="A258" s="2">
        <v>2</v>
      </c>
      <c r="B258" s="2" t="s">
        <v>45</v>
      </c>
      <c r="C258" s="2">
        <v>74</v>
      </c>
      <c r="D258" s="11">
        <v>1791327377.902812</v>
      </c>
      <c r="E258" s="7">
        <f>D258-D185</f>
        <v>79.6931080818176</v>
      </c>
      <c r="F258" s="9">
        <v>1976</v>
      </c>
      <c r="G258" s="5">
        <f>(F258-F257)/$G$2/(D258-D257)*100</f>
        <v>12.0031127198634</v>
      </c>
    </row>
    <row r="259" spans="1:7" x14ac:dyDescent="0.25">
      <c r="A259" s="2">
        <v>2</v>
      </c>
      <c r="B259" s="2" t="s">
        <v>45</v>
      </c>
      <c r="C259" s="2">
        <v>75</v>
      </c>
      <c r="D259" s="11">
        <v>1791327378.9929316</v>
      </c>
      <c r="E259" s="7">
        <f>D259-D185</f>
        <v>80.7832276821137</v>
      </c>
      <c r="F259" s="9">
        <v>1989</v>
      </c>
      <c r="G259" s="5">
        <f>(F259-F258)/$G$2/(D259-D258)*100</f>
        <v>11.9252970008702</v>
      </c>
    </row>
    <row r="260" spans="1:7" x14ac:dyDescent="0.25">
      <c r="A260" s="2">
        <v>2</v>
      </c>
      <c r="B260" s="2" t="s">
        <v>45</v>
      </c>
      <c r="C260" s="2">
        <v>76</v>
      </c>
      <c r="D260" s="11">
        <v>1791327380.080394</v>
      </c>
      <c r="E260" s="7">
        <f>D260-D185</f>
        <v>81.8706901073456</v>
      </c>
      <c r="F260" s="9">
        <v>1999</v>
      </c>
      <c r="G260" s="5">
        <f>(F260-F259)/$G$2/(D260-D259)*100</f>
        <v>9.19572002487093</v>
      </c>
    </row>
    <row r="261" spans="1:7" x14ac:dyDescent="0.25">
      <c r="A261" s="2">
        <v>2</v>
      </c>
      <c r="B261" s="2" t="s">
        <v>45</v>
      </c>
      <c r="C261" s="2">
        <v>77</v>
      </c>
      <c r="D261" s="11">
        <v>1791327381.1606297</v>
      </c>
      <c r="E261" s="7">
        <f>D261-D185</f>
        <v>82.9509258270264</v>
      </c>
      <c r="F261" s="9">
        <v>2011</v>
      </c>
      <c r="G261" s="5">
        <f>(F261-F260)/$G$2/(D261-D260)*100</f>
        <v>11.1086865406988</v>
      </c>
    </row>
    <row r="262" spans="1:7" x14ac:dyDescent="0.25">
      <c r="A262" s="2">
        <v>2</v>
      </c>
      <c r="B262" s="2" t="s">
        <v>45</v>
      </c>
      <c r="C262" s="2">
        <v>78</v>
      </c>
      <c r="D262" s="11">
        <v>1791327382.2667522</v>
      </c>
      <c r="E262" s="7">
        <f>D262-D185</f>
        <v>84.0570483207703</v>
      </c>
      <c r="F262" s="9">
        <v>2028</v>
      </c>
      <c r="G262" s="5">
        <f>(F262-F261)/$G$2/(D262-D261)*100</f>
        <v>15.3690030680599</v>
      </c>
    </row>
    <row r="263" spans="1:7" x14ac:dyDescent="0.25">
      <c r="A263" s="2">
        <v>2</v>
      </c>
      <c r="B263" s="2" t="s">
        <v>45</v>
      </c>
      <c r="C263" s="2">
        <v>79</v>
      </c>
      <c r="D263" s="11">
        <v>1791327383.3499362</v>
      </c>
      <c r="E263" s="7">
        <f>D263-D185</f>
        <v>85.1402323246002</v>
      </c>
      <c r="F263" s="9">
        <v>2053</v>
      </c>
      <c r="G263" s="5">
        <f>(F263-F262)/$G$2/(D263-D262)*100</f>
        <v>23.0801044989625</v>
      </c>
    </row>
    <row r="264" spans="1:7" x14ac:dyDescent="0.25">
      <c r="A264" s="2">
        <v>2</v>
      </c>
      <c r="B264" s="2" t="s">
        <v>45</v>
      </c>
      <c r="C264" s="2">
        <v>80</v>
      </c>
      <c r="D264" s="11">
        <v>1791327384.4489963</v>
      </c>
      <c r="E264" s="7">
        <f>D264-D185</f>
        <v>86.239292383194</v>
      </c>
      <c r="F264" s="9">
        <v>2061</v>
      </c>
      <c r="G264" s="5">
        <f>(F264-F263)/$G$2/(D264-D263)*100</f>
        <v>7.27894707613706</v>
      </c>
    </row>
    <row r="265" spans="1:7" x14ac:dyDescent="0.25">
      <c r="A265" s="2">
        <v>2</v>
      </c>
      <c r="B265" s="2" t="s">
        <v>45</v>
      </c>
      <c r="C265" s="2">
        <v>81</v>
      </c>
      <c r="D265" s="11">
        <v>1791327385.580891</v>
      </c>
      <c r="E265" s="7">
        <f>D265-D185</f>
        <v>87.3711869716644</v>
      </c>
      <c r="F265" s="9">
        <v>2075</v>
      </c>
      <c r="G265" s="5">
        <f>(F265-F264)/$G$2/(D265-D264)*100</f>
        <v>12.3686429307153</v>
      </c>
    </row>
    <row r="266" spans="1:7" x14ac:dyDescent="0.25">
      <c r="A266" s="2">
        <v>2</v>
      </c>
      <c r="B266" s="2" t="s">
        <v>45</v>
      </c>
      <c r="C266" s="2">
        <v>82</v>
      </c>
      <c r="D266" s="11">
        <v>1791327386.6950276</v>
      </c>
      <c r="E266" s="7">
        <f>D266-D185</f>
        <v>88.4853236675263</v>
      </c>
      <c r="F266" s="9">
        <v>2086</v>
      </c>
      <c r="G266" s="5">
        <f>(F266-F265)/$G$2/(D266-D265)*100</f>
        <v>9.87311524775799</v>
      </c>
    </row>
    <row r="267" spans="1:7" x14ac:dyDescent="0.25">
      <c r="A267" s="2">
        <v>2</v>
      </c>
      <c r="B267" s="2" t="s">
        <v>45</v>
      </c>
      <c r="C267" s="2">
        <v>83</v>
      </c>
      <c r="D267" s="11">
        <v>1791327387.7874284</v>
      </c>
      <c r="E267" s="7">
        <f>D267-D185</f>
        <v>89.5777244567871</v>
      </c>
      <c r="F267" s="9">
        <v>2102</v>
      </c>
      <c r="G267" s="5">
        <f>(F267-F266)/$G$2/(D267-D266)*100</f>
        <v>14.6466389966872</v>
      </c>
    </row>
    <row r="268" spans="1:7" x14ac:dyDescent="0.25">
      <c r="A268" s="2">
        <v>2</v>
      </c>
      <c r="B268" s="2" t="s">
        <v>45</v>
      </c>
      <c r="C268" s="2">
        <v>84</v>
      </c>
      <c r="D268" s="11">
        <v>1791327388.8921626</v>
      </c>
      <c r="E268" s="7">
        <f>D268-D185</f>
        <v>90.6824586391449</v>
      </c>
      <c r="F268" s="9">
        <v>2115</v>
      </c>
      <c r="G268" s="5">
        <f>(F268-F267)/$G$2/(D268-D267)*100</f>
        <v>11.7675366686443</v>
      </c>
    </row>
    <row r="269" spans="1:7" x14ac:dyDescent="0.25">
      <c r="A269" s="2">
        <v>2</v>
      </c>
      <c r="B269" s="2" t="s">
        <v>45</v>
      </c>
      <c r="C269" s="2">
        <v>85</v>
      </c>
      <c r="D269" s="11">
        <v>1791327389.9949887</v>
      </c>
      <c r="E269" s="7">
        <f>D269-D185</f>
        <v>91.7852847576141</v>
      </c>
      <c r="F269" s="9">
        <v>2120</v>
      </c>
      <c r="G269" s="5">
        <f>(F269-F268)/$G$2/(D269-D268)*100</f>
        <v>4.53380629662651</v>
      </c>
    </row>
    <row r="270" spans="1:7" x14ac:dyDescent="0.25">
      <c r="A270" s="2">
        <v>2</v>
      </c>
      <c r="B270" s="2" t="s">
        <v>45</v>
      </c>
      <c r="C270" s="2">
        <v>86</v>
      </c>
      <c r="D270" s="11">
        <v>1791327391.09572</v>
      </c>
      <c r="E270" s="7">
        <f>D270-D185</f>
        <v>92.8860161304474</v>
      </c>
      <c r="F270" s="9">
        <v>2126</v>
      </c>
      <c r="G270" s="5">
        <f>(F270-F269)/$G$2/(D270-D269)*100</f>
        <v>5.4509212220927</v>
      </c>
    </row>
    <row r="271" spans="1:7" x14ac:dyDescent="0.25">
      <c r="A271" s="2">
        <v>2</v>
      </c>
      <c r="B271" s="2" t="s">
        <v>45</v>
      </c>
      <c r="C271" s="2">
        <v>87</v>
      </c>
      <c r="D271" s="11">
        <v>1791327392.1664212</v>
      </c>
      <c r="E271" s="7">
        <f>D271-D185</f>
        <v>93.9567172527313</v>
      </c>
      <c r="F271" s="9">
        <v>2138</v>
      </c>
      <c r="G271" s="5">
        <f>(F271-F270)/$G$2/(D271-D270)*100</f>
        <v>11.207609434837</v>
      </c>
    </row>
    <row r="272" spans="1:7" x14ac:dyDescent="0.25">
      <c r="A272" s="2">
        <v>2</v>
      </c>
      <c r="B272" s="2" t="s">
        <v>45</v>
      </c>
      <c r="C272" s="2">
        <v>88</v>
      </c>
      <c r="D272" s="11">
        <v>1791327393.246104</v>
      </c>
      <c r="E272" s="7">
        <f>D272-D185</f>
        <v>95.0364000797272</v>
      </c>
      <c r="F272" s="9">
        <v>2149</v>
      </c>
      <c r="G272" s="5">
        <f>(F272-F271)/$G$2/(D272-D271)*100</f>
        <v>10.1881772359081</v>
      </c>
    </row>
    <row r="273" spans="1:7" x14ac:dyDescent="0.25">
      <c r="A273" s="2">
        <v>2</v>
      </c>
      <c r="B273" s="2" t="s">
        <v>45</v>
      </c>
      <c r="C273" s="2">
        <v>89</v>
      </c>
      <c r="D273" s="11">
        <v>1791327394.3265886</v>
      </c>
      <c r="E273" s="7">
        <f>D273-D185</f>
        <v>96.1168847084045</v>
      </c>
      <c r="F273" s="9">
        <v>2167</v>
      </c>
      <c r="G273" s="5">
        <f>(F273-F272)/$G$2/(D273-D272)*100</f>
        <v>16.6591911835284</v>
      </c>
    </row>
    <row r="274" spans="1:7" x14ac:dyDescent="0.25">
      <c r="A274" s="2">
        <v>2</v>
      </c>
      <c r="B274" s="2" t="s">
        <v>45</v>
      </c>
      <c r="C274" s="2">
        <v>90</v>
      </c>
      <c r="D274" s="11">
        <v>1791327395.4310956</v>
      </c>
      <c r="E274" s="7">
        <f>D274-D185</f>
        <v>97.2213916778565</v>
      </c>
      <c r="F274" s="9">
        <v>2185</v>
      </c>
      <c r="G274" s="5">
        <f>(F274-F273)/$G$2/(D274-D273)*100</f>
        <v>16.2968641193204</v>
      </c>
    </row>
    <row r="275" spans="1:7" x14ac:dyDescent="0.25">
      <c r="A275" s="2">
        <v>2</v>
      </c>
      <c r="B275" s="2" t="s">
        <v>45</v>
      </c>
      <c r="C275" s="2">
        <v>91</v>
      </c>
      <c r="D275" s="11">
        <v>1791327396.5482028</v>
      </c>
      <c r="E275" s="7">
        <f>D275-D185</f>
        <v>98.3384988307953</v>
      </c>
      <c r="F275" s="9">
        <v>2197</v>
      </c>
      <c r="G275" s="5">
        <f>(F275-F274)/$G$2/(D275-D274)*100</f>
        <v>10.7420312979206</v>
      </c>
    </row>
    <row r="276" spans="1:7" x14ac:dyDescent="0.25">
      <c r="A276" s="2">
        <v>2</v>
      </c>
      <c r="B276" s="2" t="s">
        <v>45</v>
      </c>
      <c r="C276" s="2">
        <v>92</v>
      </c>
      <c r="D276" s="11">
        <v>1791327397.6534758</v>
      </c>
      <c r="E276" s="7">
        <f>D276-D185</f>
        <v>99.4437718391419</v>
      </c>
      <c r="F276" s="9">
        <v>2209</v>
      </c>
      <c r="G276" s="5">
        <f>(F276-F275)/$G$2/(D276-D275)*100</f>
        <v>10.8570460957438</v>
      </c>
    </row>
    <row r="277" spans="1:7" x14ac:dyDescent="0.25">
      <c r="A277" s="2">
        <v>2</v>
      </c>
      <c r="B277" s="2" t="s">
        <v>45</v>
      </c>
      <c r="C277" s="2">
        <v>93</v>
      </c>
      <c r="D277" s="11">
        <v>1791327398.7613735</v>
      </c>
      <c r="E277" s="7">
        <f>D277-D185</f>
        <v>100.551669597626</v>
      </c>
      <c r="F277" s="9">
        <v>2221</v>
      </c>
      <c r="G277" s="5">
        <f>(F277-F276)/$G$2/(D277-D276)*100</f>
        <v>10.8313243781823</v>
      </c>
    </row>
    <row r="278" spans="1:7" x14ac:dyDescent="0.25">
      <c r="A278" s="2">
        <v>2</v>
      </c>
      <c r="B278" s="2" t="s">
        <v>45</v>
      </c>
      <c r="C278" s="2">
        <v>94</v>
      </c>
      <c r="D278" s="11">
        <v>1791327399.8447945</v>
      </c>
      <c r="E278" s="7">
        <f>D278-D185</f>
        <v>101.635090589523</v>
      </c>
      <c r="F278" s="9">
        <v>2234</v>
      </c>
      <c r="G278" s="5">
        <f>(F278-F277)/$G$2/(D278-D277)*100</f>
        <v>11.9990290913884</v>
      </c>
    </row>
    <row r="279" spans="1:7" x14ac:dyDescent="0.25">
      <c r="A279" s="2">
        <v>2</v>
      </c>
      <c r="B279" s="2" t="s">
        <v>45</v>
      </c>
      <c r="C279" s="2">
        <v>95</v>
      </c>
      <c r="D279" s="11">
        <v>1791327400.9343057</v>
      </c>
      <c r="E279" s="7">
        <f>D279-D185</f>
        <v>102.724601745605</v>
      </c>
      <c r="F279" s="9">
        <v>2247</v>
      </c>
      <c r="G279" s="5">
        <f>(F279-F278)/$G$2/(D279-D278)*100</f>
        <v>11.9319567564114</v>
      </c>
    </row>
    <row r="280" spans="1:7" x14ac:dyDescent="0.25">
      <c r="A280" s="2">
        <v>2</v>
      </c>
      <c r="B280" s="2" t="s">
        <v>45</v>
      </c>
      <c r="C280" s="2">
        <v>96</v>
      </c>
      <c r="D280" s="11">
        <v>1791327402.022623</v>
      </c>
      <c r="E280" s="7">
        <f>D280-D185</f>
        <v>103.812919139862</v>
      </c>
      <c r="F280" s="9">
        <v>2259</v>
      </c>
      <c r="G280" s="5">
        <f>(F280-F279)/$G$2/(D280-D279)*100</f>
        <v>11.0261951736947</v>
      </c>
    </row>
    <row r="281" spans="1:7" x14ac:dyDescent="0.25">
      <c r="A281" s="2">
        <v>2</v>
      </c>
      <c r="B281" s="2" t="s">
        <v>45</v>
      </c>
      <c r="C281" s="2">
        <v>97</v>
      </c>
      <c r="D281" s="11">
        <v>1791327403.1054823</v>
      </c>
      <c r="E281" s="7">
        <f>D281-D185</f>
        <v>104.895778417587</v>
      </c>
      <c r="F281" s="9">
        <v>2274</v>
      </c>
      <c r="G281" s="5">
        <f>(F281-F280)/$G$2/(D281-D280)*100</f>
        <v>13.8522154342259</v>
      </c>
    </row>
    <row r="282" spans="1:7" x14ac:dyDescent="0.25">
      <c r="A282" s="2">
        <v>2</v>
      </c>
      <c r="B282" s="2" t="s">
        <v>45</v>
      </c>
      <c r="C282" s="2">
        <v>98</v>
      </c>
      <c r="D282" s="11">
        <v>1791327404.1984227</v>
      </c>
      <c r="E282" s="7">
        <f>D282-D185</f>
        <v>105.988718748093</v>
      </c>
      <c r="F282" s="9">
        <v>2287</v>
      </c>
      <c r="G282" s="5">
        <f>(F282-F281)/$G$2/(D282-D281)*100</f>
        <v>11.8945194327204</v>
      </c>
    </row>
    <row r="283" spans="1:7" x14ac:dyDescent="0.25">
      <c r="A283" s="2">
        <v>2</v>
      </c>
      <c r="B283" s="2" t="s">
        <v>45</v>
      </c>
      <c r="C283" s="2">
        <v>99</v>
      </c>
      <c r="D283" s="11">
        <v>1791327405.3045802</v>
      </c>
      <c r="E283" s="7">
        <f>D283-D185</f>
        <v>107.094876289368</v>
      </c>
      <c r="F283" s="9">
        <v>2295</v>
      </c>
      <c r="G283" s="5">
        <f>(F283-F282)/$G$2/(D283-D282)*100</f>
        <v>7.23224287815162</v>
      </c>
    </row>
    <row r="284" spans="1:7" x14ac:dyDescent="0.25">
      <c r="A284" s="2">
        <v>2</v>
      </c>
      <c r="B284" s="2" t="s">
        <v>45</v>
      </c>
      <c r="C284" s="2">
        <v>100</v>
      </c>
      <c r="D284" s="11">
        <v>1791327406.3842466</v>
      </c>
      <c r="E284" s="7">
        <f>D284-D185</f>
        <v>108.174542665482</v>
      </c>
      <c r="F284" s="9">
        <v>2327</v>
      </c>
      <c r="G284" s="5">
        <f>(F284-F283)/$G$2/(D284-D283)*100</f>
        <v>29.6387853766267</v>
      </c>
    </row>
    <row r="285" spans="1:7" x14ac:dyDescent="0.25">
      <c r="A285" s="2">
        <v>2</v>
      </c>
      <c r="B285" s="2" t="s">
        <v>45</v>
      </c>
      <c r="C285" s="2">
        <v>101</v>
      </c>
      <c r="D285" s="11">
        <v>1791327407.4731345</v>
      </c>
      <c r="E285" s="7">
        <f>D285-D185</f>
        <v>109.263430595398</v>
      </c>
      <c r="F285" s="9">
        <v>2334</v>
      </c>
      <c r="G285" s="5">
        <f>(F285-F284)/$G$2/(D285-D284)*100</f>
        <v>6.4285770901488</v>
      </c>
    </row>
    <row r="286" spans="1:7" x14ac:dyDescent="0.25">
      <c r="A286" s="2">
        <v>2</v>
      </c>
      <c r="B286" s="2" t="s">
        <v>45</v>
      </c>
      <c r="C286" s="2">
        <v>102</v>
      </c>
      <c r="D286" s="11">
        <v>1791327408.5404236</v>
      </c>
      <c r="E286" s="7">
        <f>D286-D185</f>
        <v>110.330719709396</v>
      </c>
      <c r="F286" s="9">
        <v>2340</v>
      </c>
      <c r="G286" s="5">
        <f>(F286-F285)/$G$2/(D286-D285)*100</f>
        <v>5.6217194772296</v>
      </c>
    </row>
    <row r="287" spans="1:7" x14ac:dyDescent="0.25">
      <c r="A287" s="2">
        <v>2</v>
      </c>
      <c r="B287" s="2" t="s">
        <v>45</v>
      </c>
      <c r="C287" s="2">
        <v>103</v>
      </c>
      <c r="D287" s="11">
        <v>1791327409.6105711</v>
      </c>
      <c r="E287" s="7">
        <f>D287-D185</f>
        <v>111.40086722374</v>
      </c>
      <c r="F287" s="9">
        <v>2344</v>
      </c>
      <c r="G287" s="5">
        <f>(F287-F286)/$G$2/(D287-D286)*100</f>
        <v>3.73780244909017</v>
      </c>
    </row>
    <row r="288" spans="1:7" x14ac:dyDescent="0.25">
      <c r="A288" s="2">
        <v>2</v>
      </c>
      <c r="B288" s="2" t="s">
        <v>45</v>
      </c>
      <c r="C288" s="2">
        <v>104</v>
      </c>
      <c r="D288" s="11">
        <v>1791327410.6652305</v>
      </c>
      <c r="E288" s="7">
        <f>D288-D185</f>
        <v>112.455526590347</v>
      </c>
      <c r="F288" s="9">
        <v>2348</v>
      </c>
      <c r="G288" s="5">
        <f>(F288-F287)/$G$2/(D288-D287)*100</f>
        <v>3.79269376127203</v>
      </c>
    </row>
    <row r="289" spans="1:7" x14ac:dyDescent="0.25">
      <c r="A289" s="2">
        <v>2</v>
      </c>
      <c r="B289" s="2" t="s">
        <v>45</v>
      </c>
      <c r="C289" s="2">
        <v>105</v>
      </c>
      <c r="D289" s="11">
        <v>1791327411.7397897</v>
      </c>
      <c r="E289" s="7">
        <f>D289-D185</f>
        <v>113.530085802078</v>
      </c>
      <c r="F289" s="9">
        <v>2353</v>
      </c>
      <c r="G289" s="5">
        <f>(F289-F288)/$G$2/(D289-D288)*100</f>
        <v>4.65307071533614</v>
      </c>
    </row>
    <row r="290" spans="1:7" x14ac:dyDescent="0.25">
      <c r="A290" s="2">
        <v>2</v>
      </c>
      <c r="B290" s="2" t="s">
        <v>45</v>
      </c>
      <c r="C290" s="2">
        <v>106</v>
      </c>
      <c r="D290" s="11">
        <v>1791327412.7921512</v>
      </c>
      <c r="E290" s="7">
        <f>D290-D185</f>
        <v>114.582447290421</v>
      </c>
      <c r="F290" s="9">
        <v>2355</v>
      </c>
      <c r="G290" s="5">
        <f>(F290-F289)/$G$2/(D290-D289)*100</f>
        <v>1.90048763866347</v>
      </c>
    </row>
    <row r="291" spans="1:7" x14ac:dyDescent="0.25">
      <c r="A291" s="2">
        <v>2</v>
      </c>
      <c r="B291" s="2" t="s">
        <v>45</v>
      </c>
      <c r="C291" s="2">
        <v>107</v>
      </c>
      <c r="D291" s="11">
        <v>1791327413.8787503</v>
      </c>
      <c r="E291" s="7">
        <f>D291-D185</f>
        <v>115.669046401978</v>
      </c>
      <c r="F291" s="9">
        <v>2360</v>
      </c>
      <c r="G291" s="5">
        <f>(F291-F290)/$G$2/(D291-D290)*100</f>
        <v>4.6015130574103</v>
      </c>
    </row>
    <row r="292" spans="1:7" x14ac:dyDescent="0.25">
      <c r="A292" s="2">
        <v>2</v>
      </c>
      <c r="B292" s="2" t="s">
        <v>45</v>
      </c>
      <c r="C292" s="2">
        <v>108</v>
      </c>
      <c r="D292" s="11">
        <v>1791327414.9531183</v>
      </c>
      <c r="E292" s="7">
        <f>D292-D185</f>
        <v>116.743414402008</v>
      </c>
      <c r="F292" s="9">
        <v>2363</v>
      </c>
      <c r="G292" s="5">
        <f>(F292-F291)/$G$2/(D292-D291)*100</f>
        <v>2.79233931010118</v>
      </c>
    </row>
    <row r="293" spans="1:7" x14ac:dyDescent="0.25">
      <c r="A293" s="2">
        <v>2</v>
      </c>
      <c r="B293" s="2" t="s">
        <v>45</v>
      </c>
      <c r="C293" s="2">
        <v>109</v>
      </c>
      <c r="D293" s="11">
        <v>1791327416.0322359</v>
      </c>
      <c r="E293" s="7">
        <f>D293-D185</f>
        <v>117.822531938553</v>
      </c>
      <c r="F293" s="9">
        <v>2370</v>
      </c>
      <c r="G293" s="5">
        <f>(F293-F292)/$G$2/(D293-D292)*100</f>
        <v>6.48678180359586</v>
      </c>
    </row>
    <row r="294" spans="1:7" x14ac:dyDescent="0.25">
      <c r="A294" s="2">
        <v>2</v>
      </c>
      <c r="B294" s="2" t="s">
        <v>45</v>
      </c>
      <c r="C294" s="2">
        <v>110</v>
      </c>
      <c r="D294" s="11">
        <v>1791327417.130134</v>
      </c>
      <c r="E294" s="7">
        <f>D294-D185</f>
        <v>118.920430183411</v>
      </c>
      <c r="F294" s="9">
        <v>2382</v>
      </c>
      <c r="G294" s="5">
        <f>(F294-F293)/$G$2/(D294-D293)*100</f>
        <v>10.9299746640495</v>
      </c>
    </row>
    <row r="295" spans="1:7" x14ac:dyDescent="0.25">
      <c r="A295" s="2">
        <v>2</v>
      </c>
      <c r="B295" s="2" t="s">
        <v>45</v>
      </c>
      <c r="C295" s="2">
        <v>111</v>
      </c>
      <c r="D295" s="11">
        <v>1791327418.2637973</v>
      </c>
      <c r="E295" s="7">
        <f>D295-D185</f>
        <v>120.054093360901</v>
      </c>
      <c r="F295" s="9">
        <v>2406</v>
      </c>
      <c r="G295" s="5">
        <f>(F295-F294)/$G$2/(D295-D294)*100</f>
        <v>21.1703092034201</v>
      </c>
    </row>
    <row r="296" spans="1:7" x14ac:dyDescent="0.25">
      <c r="A296" s="2">
        <v>2</v>
      </c>
      <c r="B296" s="2" t="s">
        <v>45</v>
      </c>
      <c r="C296" s="2">
        <v>112</v>
      </c>
      <c r="D296" s="11">
        <v>1791327419.3475802</v>
      </c>
      <c r="E296" s="7">
        <f>D296-D185</f>
        <v>121.137876272202</v>
      </c>
      <c r="F296" s="9">
        <v>2434</v>
      </c>
      <c r="G296" s="5">
        <f>(F296-F295)/$G$2/(D296-D295)*100</f>
        <v>25.8354322697309</v>
      </c>
    </row>
    <row r="297" spans="1:7" x14ac:dyDescent="0.25">
      <c r="A297" s="2">
        <v>2</v>
      </c>
      <c r="B297" s="2" t="s">
        <v>45</v>
      </c>
      <c r="C297" s="2">
        <v>113</v>
      </c>
      <c r="D297" s="11">
        <v>1791327420.4283512</v>
      </c>
      <c r="E297" s="7">
        <f>D297-D185</f>
        <v>122.218647241592</v>
      </c>
      <c r="F297" s="9">
        <v>2445</v>
      </c>
      <c r="G297" s="5">
        <f>(F297-F296)/$G$2/(D297-D296)*100</f>
        <v>10.1779195699526</v>
      </c>
    </row>
    <row r="298" spans="1:7" x14ac:dyDescent="0.25">
      <c r="A298" s="2">
        <v>2</v>
      </c>
      <c r="B298" s="2" t="s">
        <v>45</v>
      </c>
      <c r="C298" s="2">
        <v>114</v>
      </c>
      <c r="D298" s="11">
        <v>1791327421.5163941</v>
      </c>
      <c r="E298" s="7">
        <f>D298-D185</f>
        <v>123.306690216064</v>
      </c>
      <c r="F298" s="9">
        <v>2456</v>
      </c>
      <c r="G298" s="5">
        <f>(F298-F297)/$G$2/(D298-D297)*100</f>
        <v>10.1098947910008</v>
      </c>
    </row>
    <row r="299" spans="1:7" x14ac:dyDescent="0.25">
      <c r="A299" s="2">
        <v>2</v>
      </c>
      <c r="B299" s="2" t="s">
        <v>45</v>
      </c>
      <c r="C299" s="2">
        <v>115</v>
      </c>
      <c r="D299" s="11">
        <v>1791327422.5764449</v>
      </c>
      <c r="E299" s="7">
        <f>D299-D185</f>
        <v>124.366740942001</v>
      </c>
      <c r="F299" s="9">
        <v>2461</v>
      </c>
      <c r="G299" s="5">
        <f>(F299-F298)/$G$2/(D299-D298)*100</f>
        <v>4.71675541336092</v>
      </c>
    </row>
    <row r="300" spans="1:7" x14ac:dyDescent="0.25">
      <c r="A300" s="2">
        <v>2</v>
      </c>
      <c r="B300" s="2" t="s">
        <v>45</v>
      </c>
      <c r="C300" s="2">
        <v>116</v>
      </c>
      <c r="D300" s="11">
        <v>1791327423.6763177</v>
      </c>
      <c r="E300" s="7">
        <f>D300-D185</f>
        <v>125.466613769531</v>
      </c>
      <c r="F300" s="9">
        <v>2477</v>
      </c>
      <c r="G300" s="5">
        <f>(F300-F299)/$G$2/(D300-D299)*100</f>
        <v>14.5471363593305</v>
      </c>
    </row>
    <row r="301" spans="1:7" x14ac:dyDescent="0.25">
      <c r="A301" s="2">
        <v>2</v>
      </c>
      <c r="B301" s="2" t="s">
        <v>45</v>
      </c>
      <c r="C301" s="2">
        <v>117</v>
      </c>
      <c r="D301" s="11">
        <v>1791327424.758272</v>
      </c>
      <c r="E301" s="7">
        <f>D301-D185</f>
        <v>126.54856801033</v>
      </c>
      <c r="F301" s="9">
        <v>2489</v>
      </c>
      <c r="G301" s="5">
        <f>(F301-F300)/$G$2/(D301-D300)*100</f>
        <v>11.0910420676745</v>
      </c>
    </row>
    <row r="302" spans="1:7" x14ac:dyDescent="0.25">
      <c r="A302" s="2">
        <v>2</v>
      </c>
      <c r="B302" s="2" t="s">
        <v>45</v>
      </c>
      <c r="C302" s="2">
        <v>118</v>
      </c>
      <c r="D302" s="11">
        <v>1791327425.8583195</v>
      </c>
      <c r="E302" s="7">
        <f>D302-D185</f>
        <v>127.648615598679</v>
      </c>
      <c r="F302" s="9">
        <v>2502</v>
      </c>
      <c r="G302" s="5">
        <f>(F302-F301)/$G$2/(D302-D301)*100</f>
        <v>11.8176705605238</v>
      </c>
    </row>
    <row r="303" spans="1:7" x14ac:dyDescent="0.25">
      <c r="A303" s="2">
        <v>2</v>
      </c>
      <c r="B303" s="2" t="s">
        <v>45</v>
      </c>
      <c r="C303" s="2">
        <v>119</v>
      </c>
      <c r="D303" s="11">
        <v>1791327426.9596736</v>
      </c>
      <c r="E303" s="7">
        <f>D303-D185</f>
        <v>128.74996972084</v>
      </c>
      <c r="F303" s="9">
        <v>2513</v>
      </c>
      <c r="G303" s="5">
        <f>(F303-F302)/$G$2/(D303-D302)*100</f>
        <v>9.98770493400245</v>
      </c>
    </row>
    <row r="304" spans="1:7" x14ac:dyDescent="0.25">
      <c r="A304" s="2">
        <v>2</v>
      </c>
      <c r="B304" s="2" t="s">
        <v>45</v>
      </c>
      <c r="C304" s="2">
        <v>120</v>
      </c>
      <c r="D304" s="11">
        <v>1791327428.0522738</v>
      </c>
      <c r="E304" s="7">
        <f>D304-D185</f>
        <v>129.842569828033</v>
      </c>
      <c r="F304" s="9">
        <v>2526</v>
      </c>
      <c r="G304" s="5">
        <f>(F304-F303)/$G$2/(D304-D303)*100</f>
        <v>11.8982232515045</v>
      </c>
    </row>
    <row r="305" spans="1:7" x14ac:dyDescent="0.25">
      <c r="A305" s="2">
        <v>2</v>
      </c>
      <c r="B305" s="2" t="s">
        <v>45</v>
      </c>
      <c r="C305" s="2">
        <v>121</v>
      </c>
      <c r="D305" s="11">
        <v>1791327429.1681697</v>
      </c>
      <c r="E305" s="7">
        <f>D305-D185</f>
        <v>130.95846581459</v>
      </c>
      <c r="F305" s="9">
        <v>2539</v>
      </c>
      <c r="G305" s="5">
        <f>(F305-F304)/$G$2/(D305-D304)*100</f>
        <v>11.6498313074055</v>
      </c>
    </row>
    <row r="306" spans="1:7" x14ac:dyDescent="0.25">
      <c r="A306" s="2">
        <v>2</v>
      </c>
      <c r="B306" s="2" t="s">
        <v>45</v>
      </c>
      <c r="C306" s="2">
        <v>122</v>
      </c>
      <c r="D306" s="11">
        <v>1791327430.2524807</v>
      </c>
      <c r="E306" s="7">
        <f>D306-D185</f>
        <v>132.042776823044</v>
      </c>
      <c r="F306" s="9">
        <v>2555</v>
      </c>
      <c r="G306" s="5">
        <f>(F306-F305)/$G$2/(D306-D305)*100</f>
        <v>14.7559140092306</v>
      </c>
    </row>
    <row r="307" spans="1:7" x14ac:dyDescent="0.25">
      <c r="A307" s="2">
        <v>2</v>
      </c>
      <c r="B307" s="2" t="s">
        <v>45</v>
      </c>
      <c r="C307" s="2">
        <v>123</v>
      </c>
      <c r="D307" s="11">
        <v>1791327431.3583415</v>
      </c>
      <c r="E307" s="7">
        <f>D307-D185</f>
        <v>133.148637533188</v>
      </c>
      <c r="F307" s="9">
        <v>2578</v>
      </c>
      <c r="G307" s="5">
        <f>(F307-F306)/$G$2/(D307-D306)*100</f>
        <v>20.798279375532</v>
      </c>
    </row>
    <row r="308" spans="1:7" x14ac:dyDescent="0.25">
      <c r="A308" s="2">
        <v>2</v>
      </c>
      <c r="B308" s="2" t="s">
        <v>45</v>
      </c>
      <c r="C308" s="2">
        <v>124</v>
      </c>
      <c r="D308" s="11">
        <v>1791327432.466541</v>
      </c>
      <c r="E308" s="7">
        <f>D308-D185</f>
        <v>134.256837129593</v>
      </c>
      <c r="F308" s="9">
        <v>2591</v>
      </c>
      <c r="G308" s="5">
        <f>(F308-F307)/$G$2/(D308-D307)*100</f>
        <v>11.7307387966677</v>
      </c>
    </row>
    <row r="309" spans="1:7" x14ac:dyDescent="0.25">
      <c r="A309" s="2">
        <v>2</v>
      </c>
      <c r="B309" s="2" t="s">
        <v>45</v>
      </c>
      <c r="C309" s="2">
        <v>125</v>
      </c>
      <c r="D309" s="11">
        <v>1791327433.5304832</v>
      </c>
      <c r="E309" s="7">
        <f>D309-D185</f>
        <v>135.320779323578</v>
      </c>
      <c r="F309" s="9">
        <v>2610</v>
      </c>
      <c r="G309" s="5">
        <f>(F309-F308)/$G$2/(D309-D308)*100</f>
        <v>17.8581130698799</v>
      </c>
    </row>
    <row r="310" spans="1:7" x14ac:dyDescent="0.25">
      <c r="A310" s="2">
        <v>2</v>
      </c>
      <c r="B310" s="2" t="s">
        <v>45</v>
      </c>
      <c r="C310" s="2">
        <v>126</v>
      </c>
      <c r="D310" s="11">
        <v>1791327434.63332</v>
      </c>
      <c r="E310" s="7">
        <f>D310-D185</f>
        <v>136.423616170883</v>
      </c>
      <c r="F310" s="9">
        <v>2621</v>
      </c>
      <c r="G310" s="5">
        <f>(F310-F309)/$G$2/(D310-D309)*100</f>
        <v>9.97427681789714</v>
      </c>
    </row>
    <row r="311" spans="1:7" x14ac:dyDescent="0.25">
      <c r="A311" s="2">
        <v>2</v>
      </c>
      <c r="B311" s="2" t="s">
        <v>45</v>
      </c>
      <c r="C311" s="2">
        <v>127</v>
      </c>
      <c r="D311" s="11">
        <v>1791327435.738717</v>
      </c>
      <c r="E311" s="7">
        <f>D311-D185</f>
        <v>137.529013156891</v>
      </c>
      <c r="F311" s="9">
        <v>2635</v>
      </c>
      <c r="G311" s="5">
        <f>(F311-F310)/$G$2/(D311-D310)*100</f>
        <v>12.6651331396905</v>
      </c>
    </row>
    <row r="312" spans="1:7" x14ac:dyDescent="0.25">
      <c r="A312" s="2">
        <v>2</v>
      </c>
      <c r="B312" s="2" t="s">
        <v>45</v>
      </c>
      <c r="C312" s="2">
        <v>128</v>
      </c>
      <c r="D312" s="11">
        <v>1791327436.8438487</v>
      </c>
      <c r="E312" s="7">
        <f>D312-D185</f>
        <v>138.63414478302</v>
      </c>
      <c r="F312" s="9">
        <v>2645</v>
      </c>
      <c r="G312" s="5">
        <f>(F312-F311)/$G$2/(D312-D311)*100</f>
        <v>9.04869588704663</v>
      </c>
    </row>
    <row r="313" spans="1:7" x14ac:dyDescent="0.25">
      <c r="A313" s="2">
        <v>2</v>
      </c>
      <c r="B313" s="2" t="s">
        <v>45</v>
      </c>
      <c r="C313" s="2">
        <v>129</v>
      </c>
      <c r="D313" s="11">
        <v>1791327437.934661</v>
      </c>
      <c r="E313" s="7">
        <f>D313-D185</f>
        <v>139.724956989288</v>
      </c>
      <c r="F313" s="9">
        <v>2661</v>
      </c>
      <c r="G313" s="5">
        <f>(F313-F312)/$G$2/(D313-D312)*100</f>
        <v>14.667969342529</v>
      </c>
    </row>
    <row r="314" spans="1:7" x14ac:dyDescent="0.25">
      <c r="A314" s="2">
        <v>2</v>
      </c>
      <c r="B314" s="2" t="s">
        <v>45</v>
      </c>
      <c r="C314" s="2">
        <v>130</v>
      </c>
      <c r="D314" s="11">
        <v>1791327439.0149896</v>
      </c>
      <c r="E314" s="7">
        <f>D314-D185</f>
        <v>140.805285692215</v>
      </c>
      <c r="F314" s="9">
        <v>2673</v>
      </c>
      <c r="G314" s="5">
        <f>(F314-F313)/$G$2/(D314-D313)*100</f>
        <v>11.1077304226868</v>
      </c>
    </row>
    <row r="315" spans="1:7" x14ac:dyDescent="0.25">
      <c r="A315" s="2">
        <v>2</v>
      </c>
      <c r="B315" s="2" t="s">
        <v>45</v>
      </c>
      <c r="C315" s="2">
        <v>131</v>
      </c>
      <c r="D315" s="11">
        <v>1791327440.148422</v>
      </c>
      <c r="E315" s="7">
        <f>D315-D185</f>
        <v>141.938718080521</v>
      </c>
      <c r="F315" s="9">
        <v>2685</v>
      </c>
      <c r="G315" s="5">
        <f>(F315-F314)/$G$2/(D315-D314)*100</f>
        <v>10.5873099479171</v>
      </c>
    </row>
    <row r="316" spans="1:7" x14ac:dyDescent="0.25">
      <c r="A316" s="2">
        <v>2</v>
      </c>
      <c r="B316" s="2" t="s">
        <v>45</v>
      </c>
      <c r="C316" s="2">
        <v>132</v>
      </c>
      <c r="D316" s="11">
        <v>1791327441.254212</v>
      </c>
      <c r="E316" s="7">
        <f>D316-D185</f>
        <v>143.044507980347</v>
      </c>
      <c r="F316" s="9">
        <v>2697</v>
      </c>
      <c r="G316" s="5">
        <f>(F316-F315)/$G$2/(D316-D315)*100</f>
        <v>10.8519710678201</v>
      </c>
    </row>
    <row r="317" spans="1:7" x14ac:dyDescent="0.25">
      <c r="A317" s="2">
        <v>2</v>
      </c>
      <c r="B317" s="2" t="s">
        <v>45</v>
      </c>
      <c r="C317" s="2">
        <v>133</v>
      </c>
      <c r="D317" s="11">
        <v>1791327442.351189</v>
      </c>
      <c r="E317" s="7">
        <f>D317-D185</f>
        <v>144.141484975815</v>
      </c>
      <c r="F317" s="9">
        <v>2725</v>
      </c>
      <c r="G317" s="5">
        <f>(F317-F316)/$G$2/(D317-D316)*100</f>
        <v>25.5246920543223</v>
      </c>
    </row>
    <row r="318" spans="1:7" x14ac:dyDescent="0.25">
      <c r="A318" s="2">
        <v>2</v>
      </c>
      <c r="B318" s="2" t="s">
        <v>45</v>
      </c>
      <c r="C318" s="2">
        <v>134</v>
      </c>
      <c r="D318" s="11">
        <v>1791327443.4537961</v>
      </c>
      <c r="E318" s="7">
        <f>D318-D185</f>
        <v>145.244092226028</v>
      </c>
      <c r="F318" s="9">
        <v>2743</v>
      </c>
      <c r="G318" s="5">
        <f>(F318-F317)/$G$2/(D318-D317)*100</f>
        <v>16.3249425364404</v>
      </c>
    </row>
    <row r="319" spans="1:7" x14ac:dyDescent="0.25">
      <c r="A319" s="2">
        <v>2</v>
      </c>
      <c r="B319" s="2" t="s">
        <v>45</v>
      </c>
      <c r="C319" s="2">
        <v>135</v>
      </c>
      <c r="D319" s="11">
        <v>1791327444.5359569</v>
      </c>
      <c r="E319" s="7">
        <f>D319-D185</f>
        <v>146.326252937317</v>
      </c>
      <c r="F319" s="9">
        <v>2753</v>
      </c>
      <c r="G319" s="5">
        <f>(F319-F318)/$G$2/(D319-D318)*100</f>
        <v>9.24077163002315</v>
      </c>
    </row>
    <row r="320" spans="1:7" x14ac:dyDescent="0.25">
      <c r="A320" s="2">
        <v>2</v>
      </c>
      <c r="B320" s="2" t="s">
        <v>45</v>
      </c>
      <c r="C320" s="2">
        <v>136</v>
      </c>
      <c r="D320" s="11">
        <v>1791327445.5934556</v>
      </c>
      <c r="E320" s="7">
        <f>D320-D185</f>
        <v>147.383751630783</v>
      </c>
      <c r="F320" s="9">
        <v>2766</v>
      </c>
      <c r="G320" s="5">
        <f>(F320-F319)/$G$2/(D320-D319)*100</f>
        <v>12.2931593961498</v>
      </c>
    </row>
    <row r="321" spans="1:7" x14ac:dyDescent="0.25">
      <c r="A321" s="2">
        <v>2</v>
      </c>
      <c r="B321" s="2" t="s">
        <v>45</v>
      </c>
      <c r="C321" s="2">
        <v>137</v>
      </c>
      <c r="D321" s="11">
        <v>1791327446.6954498</v>
      </c>
      <c r="E321" s="7">
        <f>D321-D185</f>
        <v>148.48574590683</v>
      </c>
      <c r="F321" s="9">
        <v>2778</v>
      </c>
      <c r="G321" s="5">
        <f>(F321-F320)/$G$2/(D321-D320)*100</f>
        <v>10.8893487569176</v>
      </c>
    </row>
    <row r="322" spans="1:7" x14ac:dyDescent="0.25">
      <c r="A322" s="2">
        <v>2</v>
      </c>
      <c r="B322" s="2" t="s">
        <v>45</v>
      </c>
      <c r="C322" s="2">
        <v>138</v>
      </c>
      <c r="D322" s="11">
        <v>1791327447.7974675</v>
      </c>
      <c r="E322" s="7">
        <f>D322-D185</f>
        <v>149.587763547897</v>
      </c>
      <c r="F322" s="9">
        <v>2796</v>
      </c>
      <c r="G322" s="5">
        <f>(F322-F321)/$G$2/(D322-D321)*100</f>
        <v>16.3336768207846</v>
      </c>
    </row>
    <row r="323" spans="1:7" x14ac:dyDescent="0.25">
      <c r="A323" s="2">
        <v>2</v>
      </c>
      <c r="B323" s="2" t="s">
        <v>45</v>
      </c>
      <c r="C323" s="2">
        <v>139</v>
      </c>
      <c r="D323" s="11">
        <v>1791327448.8933043</v>
      </c>
      <c r="E323" s="7">
        <f>D323-D185</f>
        <v>150.68360042572</v>
      </c>
      <c r="F323" s="9">
        <v>2809</v>
      </c>
      <c r="G323" s="5">
        <f>(F323-F322)/$G$2/(D323-D322)*100</f>
        <v>11.8630794994118</v>
      </c>
    </row>
    <row r="324" spans="1:7" x14ac:dyDescent="0.25">
      <c r="A324" s="2">
        <v>2</v>
      </c>
      <c r="B324" s="2" t="s">
        <v>45</v>
      </c>
      <c r="C324" s="2">
        <v>140</v>
      </c>
      <c r="D324" s="11">
        <v>1791327450.0014117</v>
      </c>
      <c r="E324" s="7">
        <f>D324-D185</f>
        <v>151.791707754135</v>
      </c>
      <c r="F324" s="9">
        <v>2822</v>
      </c>
      <c r="G324" s="5">
        <f>(F324-F323)/$G$2/(D324-D323)*100</f>
        <v>11.7317155718081</v>
      </c>
    </row>
    <row r="325" spans="1:7" x14ac:dyDescent="0.25">
      <c r="A325" s="2">
        <v>2</v>
      </c>
      <c r="B325" s="2" t="s">
        <v>45</v>
      </c>
      <c r="C325" s="2">
        <v>141</v>
      </c>
      <c r="D325" s="11">
        <v>1791327451.1377666</v>
      </c>
      <c r="E325" s="7">
        <f>D325-D185</f>
        <v>152.928062677383</v>
      </c>
      <c r="F325" s="9">
        <v>2834</v>
      </c>
      <c r="G325" s="5">
        <f>(F325-F324)/$G$2/(D325-D324)*100</f>
        <v>10.5600809698591</v>
      </c>
    </row>
    <row r="326" spans="1:7" x14ac:dyDescent="0.25">
      <c r="A326" s="2">
        <v>2</v>
      </c>
      <c r="B326" s="2" t="s">
        <v>45</v>
      </c>
      <c r="C326" s="2">
        <v>142</v>
      </c>
      <c r="D326" s="11">
        <v>1791327452.2357633</v>
      </c>
      <c r="E326" s="7">
        <f>D326-D185</f>
        <v>154.026059389114</v>
      </c>
      <c r="F326" s="9">
        <v>2847</v>
      </c>
      <c r="G326" s="5">
        <f>(F326-F325)/$G$2/(D326-D325)*100</f>
        <v>11.8397440184551</v>
      </c>
    </row>
    <row r="327" spans="1:7" x14ac:dyDescent="0.25">
      <c r="A327" s="2">
        <v>2</v>
      </c>
      <c r="B327" s="2" t="s">
        <v>45</v>
      </c>
      <c r="C327" s="2">
        <v>143</v>
      </c>
      <c r="D327" s="11">
        <v>1791327453.3353753</v>
      </c>
      <c r="E327" s="7">
        <f>D327-D185</f>
        <v>155.125671386719</v>
      </c>
      <c r="F327" s="9">
        <v>2863</v>
      </c>
      <c r="G327" s="5">
        <f>(F327-F326)/$G$2/(D327-D326)*100</f>
        <v>14.5505869660006</v>
      </c>
    </row>
    <row r="328" spans="1:7" x14ac:dyDescent="0.25">
      <c r="A328" s="2">
        <v>2</v>
      </c>
      <c r="B328" s="2" t="s">
        <v>45</v>
      </c>
      <c r="C328" s="2">
        <v>144</v>
      </c>
      <c r="D328" s="11">
        <v>1791327454.422282</v>
      </c>
      <c r="E328" s="7">
        <f>D328-D185</f>
        <v>156.212578058243</v>
      </c>
      <c r="F328" s="9">
        <v>2893</v>
      </c>
      <c r="G328" s="5">
        <f>(F328-F327)/$G$2/(D328-D327)*100</f>
        <v>27.6012658547163</v>
      </c>
    </row>
    <row r="329" spans="1:7" x14ac:dyDescent="0.25">
      <c r="A329" s="2">
        <v>2</v>
      </c>
      <c r="B329" s="2" t="s">
        <v>45</v>
      </c>
      <c r="C329" s="2">
        <v>145</v>
      </c>
      <c r="D329" s="11">
        <v>1791327455.5315363</v>
      </c>
      <c r="E329" s="7">
        <f>D329-D185</f>
        <v>157.321832418442</v>
      </c>
      <c r="F329" s="9">
        <v>2905</v>
      </c>
      <c r="G329" s="5">
        <f>(F329-F328)/$G$2/(D329-D328)*100</f>
        <v>10.8180778282877</v>
      </c>
    </row>
    <row r="330" spans="1:7" x14ac:dyDescent="0.25">
      <c r="A330" s="2">
        <v>2</v>
      </c>
      <c r="B330" s="2" t="s">
        <v>45</v>
      </c>
      <c r="C330" s="2">
        <v>146</v>
      </c>
      <c r="D330" s="11">
        <v>1791327456.6110883</v>
      </c>
      <c r="E330" s="7">
        <f>D330-D185</f>
        <v>158.401384353638</v>
      </c>
      <c r="F330" s="9">
        <v>2918</v>
      </c>
      <c r="G330" s="5">
        <f>(F330-F329)/$G$2/(D330-D329)*100</f>
        <v>12.0420329732823</v>
      </c>
    </row>
    <row r="331" spans="1:7" x14ac:dyDescent="0.25">
      <c r="A331" s="2">
        <v>2</v>
      </c>
      <c r="B331" s="2" t="s">
        <v>45</v>
      </c>
      <c r="C331" s="2">
        <v>147</v>
      </c>
      <c r="D331" s="11">
        <v>1791327457.7108216</v>
      </c>
      <c r="E331" s="7">
        <f>D331-D185</f>
        <v>159.501117706299</v>
      </c>
      <c r="F331" s="9">
        <v>2930</v>
      </c>
      <c r="G331" s="5">
        <f>(F331-F330)/$G$2/(D331-D330)*100</f>
        <v>10.9117359866939</v>
      </c>
    </row>
    <row r="332" spans="1:7" x14ac:dyDescent="0.25">
      <c r="A332" s="2">
        <v>2</v>
      </c>
      <c r="B332" s="2" t="s">
        <v>45</v>
      </c>
      <c r="C332" s="2">
        <v>148</v>
      </c>
      <c r="D332" s="11">
        <v>1791327458.7919393</v>
      </c>
      <c r="E332" s="7">
        <f>D332-D185</f>
        <v>160.582235336304</v>
      </c>
      <c r="F332" s="9">
        <v>2942</v>
      </c>
      <c r="G332" s="5">
        <f>(F332-F331)/$G$2/(D332-D331)*100</f>
        <v>11.0996247466113</v>
      </c>
    </row>
    <row r="333" spans="1:7" x14ac:dyDescent="0.25">
      <c r="A333" s="2">
        <v>2</v>
      </c>
      <c r="B333" s="2" t="s">
        <v>45</v>
      </c>
      <c r="C333" s="2">
        <v>149</v>
      </c>
      <c r="D333" s="11">
        <v>1791327459.901198</v>
      </c>
      <c r="E333" s="7">
        <f>D333-D185</f>
        <v>161.691493988037</v>
      </c>
      <c r="F333" s="9">
        <v>2953</v>
      </c>
      <c r="G333" s="5">
        <f>(F333-F332)/$G$2/(D333-D332)*100</f>
        <v>9.91653297705697</v>
      </c>
    </row>
    <row r="334" spans="1:7" x14ac:dyDescent="0.25">
      <c r="A334" s="2">
        <v>2</v>
      </c>
      <c r="B334" s="2" t="s">
        <v>45</v>
      </c>
      <c r="C334" s="2">
        <v>150</v>
      </c>
      <c r="D334" s="11">
        <v>1791327460.9893653</v>
      </c>
      <c r="E334" s="7">
        <f>D334-D185</f>
        <v>162.779661417007</v>
      </c>
      <c r="F334" s="9">
        <v>2964</v>
      </c>
      <c r="G334" s="5">
        <f>(F334-F333)/$G$2/(D334-D333)*100</f>
        <v>10.1087385149991</v>
      </c>
    </row>
    <row r="335" spans="1:7" x14ac:dyDescent="0.25">
      <c r="A335" s="2">
        <v>2</v>
      </c>
      <c r="B335" s="2" t="s">
        <v>45</v>
      </c>
      <c r="C335" s="2">
        <v>151</v>
      </c>
      <c r="D335" s="11">
        <v>1791327462.112396</v>
      </c>
      <c r="E335" s="7">
        <f>D335-D185</f>
        <v>163.902692079544</v>
      </c>
      <c r="F335" s="9">
        <v>2977</v>
      </c>
      <c r="G335" s="5">
        <f>(F335-F334)/$G$2/(D335-D334)*100</f>
        <v>11.5758192840759</v>
      </c>
    </row>
    <row r="336" spans="1:7" x14ac:dyDescent="0.25">
      <c r="A336" s="2">
        <v>2</v>
      </c>
      <c r="B336" s="2" t="s">
        <v>45</v>
      </c>
      <c r="C336" s="2">
        <v>152</v>
      </c>
      <c r="D336" s="11">
        <v>1791327463.2230659</v>
      </c>
      <c r="E336" s="7">
        <f>D336-D185</f>
        <v>165.013361930847</v>
      </c>
      <c r="F336" s="9">
        <v>2994</v>
      </c>
      <c r="G336" s="5">
        <f>(F336-F335)/$G$2/(D336-D335)*100</f>
        <v>15.3060785615587</v>
      </c>
    </row>
    <row r="337" spans="1:7" x14ac:dyDescent="0.25">
      <c r="A337" s="2">
        <v>2</v>
      </c>
      <c r="B337" s="2" t="s">
        <v>45</v>
      </c>
      <c r="C337" s="2">
        <v>153</v>
      </c>
      <c r="D337" s="11">
        <v>1791327464.3305664</v>
      </c>
      <c r="E337" s="7">
        <f>D337-D185</f>
        <v>166.120862483978</v>
      </c>
      <c r="F337" s="9">
        <v>3006</v>
      </c>
      <c r="G337" s="5">
        <f>(F337-F336)/$G$2/(D337-D336)*100</f>
        <v>10.835209035403</v>
      </c>
    </row>
    <row r="338" spans="1:7" x14ac:dyDescent="0.25">
      <c r="A338" s="2">
        <v>2</v>
      </c>
      <c r="B338" s="2" t="s">
        <v>45</v>
      </c>
      <c r="C338" s="2">
        <v>154</v>
      </c>
      <c r="D338" s="11">
        <v>1791327465.445188</v>
      </c>
      <c r="E338" s="7">
        <f>D338-D185</f>
        <v>167.23548412323</v>
      </c>
      <c r="F338" s="9">
        <v>3019</v>
      </c>
      <c r="G338" s="5">
        <f>(F338-F337)/$G$2/(D338-D337)*100</f>
        <v>11.6631505635647</v>
      </c>
    </row>
    <row r="339" spans="1:7" x14ac:dyDescent="0.25">
      <c r="A339" s="2">
        <v>2</v>
      </c>
      <c r="B339" s="2" t="s">
        <v>45</v>
      </c>
      <c r="C339" s="2">
        <v>155</v>
      </c>
      <c r="D339" s="11">
        <v>1791327466.5498111</v>
      </c>
      <c r="E339" s="7">
        <f>D339-D185</f>
        <v>168.34010720253</v>
      </c>
      <c r="F339" s="9">
        <v>3051</v>
      </c>
      <c r="G339" s="5">
        <f>(F339-F338)/$G$2/(D339-D338)*100</f>
        <v>28.9691575340618</v>
      </c>
    </row>
    <row r="340" spans="1:7" x14ac:dyDescent="0.25">
      <c r="A340" s="2">
        <v>2</v>
      </c>
      <c r="B340" s="2" t="s">
        <v>45</v>
      </c>
      <c r="C340" s="2">
        <v>156</v>
      </c>
      <c r="D340" s="11">
        <v>1791327467.6275146</v>
      </c>
      <c r="E340" s="7">
        <f>D340-D185</f>
        <v>169.417810678482</v>
      </c>
      <c r="F340" s="9">
        <v>3067</v>
      </c>
      <c r="G340" s="5">
        <f>(F340-F339)/$G$2/(D340-D339)*100</f>
        <v>14.8463843320762</v>
      </c>
    </row>
    <row r="341" spans="1:7" x14ac:dyDescent="0.25">
      <c r="A341" s="2">
        <v>2</v>
      </c>
      <c r="B341" s="2" t="s">
        <v>45</v>
      </c>
      <c r="C341" s="2">
        <v>157</v>
      </c>
      <c r="D341" s="11">
        <v>1791327468.7198503</v>
      </c>
      <c r="E341" s="7">
        <f>D341-D185</f>
        <v>170.510146379471</v>
      </c>
      <c r="F341" s="9">
        <v>3081</v>
      </c>
      <c r="G341" s="5">
        <f>(F341-F340)/$G$2/(D341-D340)*100</f>
        <v>12.8165727690923</v>
      </c>
    </row>
    <row r="342" spans="1:7" x14ac:dyDescent="0.25">
      <c r="A342" s="2">
        <v>2</v>
      </c>
      <c r="B342" s="2" t="s">
        <v>45</v>
      </c>
      <c r="C342" s="2">
        <v>158</v>
      </c>
      <c r="D342" s="11">
        <v>1791327469.8316743</v>
      </c>
      <c r="E342" s="7">
        <f>D342-D185</f>
        <v>171.621970415115</v>
      </c>
      <c r="F342" s="9">
        <v>3094</v>
      </c>
      <c r="G342" s="5">
        <f>(F342-F341)/$G$2/(D342-D341)*100</f>
        <v>11.6924977183677</v>
      </c>
    </row>
    <row r="343" spans="1:7" x14ac:dyDescent="0.25">
      <c r="A343" s="2">
        <v>2</v>
      </c>
      <c r="B343" s="2" t="s">
        <v>45</v>
      </c>
      <c r="C343" s="2">
        <v>159</v>
      </c>
      <c r="D343" s="11">
        <v>1791327470.8904572</v>
      </c>
      <c r="E343" s="7">
        <f>D343-D185</f>
        <v>172.680753231049</v>
      </c>
      <c r="F343" s="9">
        <v>3106</v>
      </c>
      <c r="G343" s="5">
        <f>(F343-F342)/$G$2/(D343-D342)*100</f>
        <v>11.3337691351016</v>
      </c>
    </row>
    <row r="344" spans="1:7" x14ac:dyDescent="0.25">
      <c r="A344" s="2">
        <v>2</v>
      </c>
      <c r="B344" s="2" t="s">
        <v>45</v>
      </c>
      <c r="C344" s="2">
        <v>160</v>
      </c>
      <c r="D344" s="11">
        <v>1791327471.9904518</v>
      </c>
      <c r="E344" s="7">
        <f>D344-D185</f>
        <v>173.780747890472</v>
      </c>
      <c r="F344" s="9">
        <v>3116</v>
      </c>
      <c r="G344" s="5">
        <f>(F344-F343)/$G$2/(D344-D343)*100</f>
        <v>9.09095322811654</v>
      </c>
    </row>
    <row r="345" spans="1:7" x14ac:dyDescent="0.25">
      <c r="A345" s="2">
        <v>2</v>
      </c>
      <c r="B345" s="2" t="s">
        <v>45</v>
      </c>
      <c r="C345" s="2">
        <v>161</v>
      </c>
      <c r="D345" s="11">
        <v>1791327473.134331</v>
      </c>
      <c r="E345" s="7">
        <f>D345-D185</f>
        <v>174.924627065659</v>
      </c>
      <c r="F345" s="9">
        <v>3128</v>
      </c>
      <c r="G345" s="5">
        <f>(F345-F344)/$G$2/(D345-D344)*100</f>
        <v>10.4906184676778</v>
      </c>
    </row>
    <row r="346" spans="1:7" x14ac:dyDescent="0.25">
      <c r="A346" s="2">
        <v>2</v>
      </c>
      <c r="B346" s="2" t="s">
        <v>45</v>
      </c>
      <c r="C346" s="2">
        <v>162</v>
      </c>
      <c r="D346" s="11">
        <v>1791327474.248649</v>
      </c>
      <c r="E346" s="7">
        <f>D346-D185</f>
        <v>176.038944959641</v>
      </c>
      <c r="F346" s="9">
        <v>3141</v>
      </c>
      <c r="G346" s="5">
        <f>(F346-F345)/$G$2/(D346-D345)*100</f>
        <v>11.6663297522267</v>
      </c>
    </row>
    <row r="347" spans="1:7" x14ac:dyDescent="0.25">
      <c r="A347" s="2">
        <v>2</v>
      </c>
      <c r="B347" s="2" t="s">
        <v>45</v>
      </c>
      <c r="C347" s="2">
        <v>163</v>
      </c>
      <c r="D347" s="11">
        <v>1791327475.3235002</v>
      </c>
      <c r="E347" s="7">
        <f>D347-D185</f>
        <v>177.113796234131</v>
      </c>
      <c r="F347" s="9">
        <v>3152</v>
      </c>
      <c r="G347" s="5">
        <f>(F347-F346)/$G$2/(D347-D346)*100</f>
        <v>10.23397400279</v>
      </c>
    </row>
    <row r="348" spans="1:7" x14ac:dyDescent="0.25">
      <c r="A348" s="2">
        <v>2</v>
      </c>
      <c r="B348" s="2" t="s">
        <v>45</v>
      </c>
      <c r="C348" s="2">
        <v>164</v>
      </c>
      <c r="D348" s="11">
        <v>1791327476.4196198</v>
      </c>
      <c r="E348" s="7">
        <f>D348-D185</f>
        <v>178.209915876389</v>
      </c>
      <c r="F348" s="9">
        <v>3165</v>
      </c>
      <c r="G348" s="5">
        <f>(F348-F347)/$G$2/(D348-D347)*100</f>
        <v>11.8600191975611</v>
      </c>
    </row>
    <row r="349" spans="1:7" x14ac:dyDescent="0.25">
      <c r="A349" s="2">
        <v>2</v>
      </c>
      <c r="B349" s="2" t="s">
        <v>45</v>
      </c>
      <c r="C349" s="2">
        <v>165</v>
      </c>
      <c r="D349" s="11">
        <v>1791327477.519176</v>
      </c>
      <c r="E349" s="7">
        <f>D349-D185</f>
        <v>179.309472084045</v>
      </c>
      <c r="F349" s="9">
        <v>3183</v>
      </c>
      <c r="G349" s="5">
        <f>(F349-F348)/$G$2/(D349-D348)*100</f>
        <v>16.3702408977871</v>
      </c>
    </row>
    <row r="350" spans="1:7" x14ac:dyDescent="0.25">
      <c r="A350" s="2">
        <v>2</v>
      </c>
      <c r="B350" s="2" t="s">
        <v>45</v>
      </c>
      <c r="C350" s="2">
        <v>166</v>
      </c>
      <c r="D350" s="11">
        <v>1791327478.618312</v>
      </c>
      <c r="E350" s="7">
        <f>D350-D185</f>
        <v>180.408607959747</v>
      </c>
      <c r="F350" s="9">
        <v>3211</v>
      </c>
      <c r="G350" s="5">
        <f>(F350-F349)/$G$2/(D350-D349)*100</f>
        <v>25.4745574400611</v>
      </c>
    </row>
    <row r="351" spans="1:7" x14ac:dyDescent="0.25">
      <c r="A351" s="2">
        <v>2</v>
      </c>
      <c r="B351" s="2" t="s">
        <v>45</v>
      </c>
      <c r="C351" s="2">
        <v>167</v>
      </c>
      <c r="D351" s="11">
        <v>1791327479.72728</v>
      </c>
      <c r="E351" s="7">
        <f>D351-D185</f>
        <v>181.517575979233</v>
      </c>
      <c r="F351" s="9">
        <v>3229</v>
      </c>
      <c r="G351" s="5">
        <f>(F351-F350)/$G$2/(D351-D350)*100</f>
        <v>16.2313066596379</v>
      </c>
    </row>
    <row r="352" spans="1:7" x14ac:dyDescent="0.25">
      <c r="A352" s="2">
        <v>2</v>
      </c>
      <c r="B352" s="2" t="s">
        <v>45</v>
      </c>
      <c r="C352" s="2">
        <v>168</v>
      </c>
      <c r="D352" s="11">
        <v>1791327480.8253744</v>
      </c>
      <c r="E352" s="7">
        <f>D352-D185</f>
        <v>182.615670442581</v>
      </c>
      <c r="F352" s="9">
        <v>3241</v>
      </c>
      <c r="G352" s="5">
        <f>(F352-F351)/$G$2/(D352-D351)*100</f>
        <v>10.9280215869669</v>
      </c>
    </row>
    <row r="353" spans="1:7" x14ac:dyDescent="0.25">
      <c r="A353" s="2">
        <v>2</v>
      </c>
      <c r="B353" s="2" t="s">
        <v>45</v>
      </c>
      <c r="C353" s="2">
        <v>169</v>
      </c>
      <c r="D353" s="11">
        <v>1791327481.926427</v>
      </c>
      <c r="E353" s="7">
        <f>D353-D185</f>
        <v>183.71672296524</v>
      </c>
      <c r="F353" s="9">
        <v>3254</v>
      </c>
      <c r="G353" s="5">
        <f>(F353-F352)/$G$2/(D353-D352)*100</f>
        <v>11.8068845331755</v>
      </c>
    </row>
    <row r="354" spans="1:7" x14ac:dyDescent="0.25">
      <c r="A354" s="2">
        <v>2</v>
      </c>
      <c r="B354" s="2" t="s">
        <v>45</v>
      </c>
      <c r="C354" s="2">
        <v>170</v>
      </c>
      <c r="D354" s="11">
        <v>1791327483.0217378</v>
      </c>
      <c r="E354" s="7">
        <f>D354-D185</f>
        <v>184.812033891678</v>
      </c>
      <c r="F354" s="9">
        <v>3272</v>
      </c>
      <c r="G354" s="5">
        <f>(F354-F353)/$G$2/(D354-D353)*100</f>
        <v>16.4336898003447</v>
      </c>
    </row>
    <row r="355" spans="1:7" x14ac:dyDescent="0.25">
      <c r="A355" s="2">
        <v>2</v>
      </c>
      <c r="B355" s="2" t="s">
        <v>45</v>
      </c>
      <c r="C355" s="2">
        <v>171</v>
      </c>
      <c r="D355" s="11">
        <v>1791327484.1263266</v>
      </c>
      <c r="E355" s="7">
        <f>D355-D185</f>
        <v>185.916622638702</v>
      </c>
      <c r="F355" s="9">
        <v>3284</v>
      </c>
      <c r="G355" s="5">
        <f>(F355-F354)/$G$2/(D355-D354)*100</f>
        <v>10.8637717271018</v>
      </c>
    </row>
    <row r="356" spans="1:7" x14ac:dyDescent="0.25">
      <c r="A356" s="2">
        <v>2</v>
      </c>
      <c r="B356" s="2" t="s">
        <v>45</v>
      </c>
      <c r="C356" s="2">
        <v>172</v>
      </c>
      <c r="D356" s="11">
        <v>1791327485.2087395</v>
      </c>
      <c r="E356" s="7">
        <f>D356-D185</f>
        <v>186.999035596848</v>
      </c>
      <c r="F356" s="9">
        <v>3297</v>
      </c>
      <c r="G356" s="5">
        <f>(F356-F355)/$G$2/(D356-D355)*100</f>
        <v>12.0102035939012</v>
      </c>
    </row>
    <row r="357" spans="1:7" x14ac:dyDescent="0.25">
      <c r="A357" s="2">
        <v>2</v>
      </c>
      <c r="B357" s="2" t="s">
        <v>45</v>
      </c>
      <c r="C357" s="2">
        <v>173</v>
      </c>
      <c r="D357" s="11">
        <v>1791327486.3073728</v>
      </c>
      <c r="E357" s="7">
        <f>D357-D185</f>
        <v>188.097668886185</v>
      </c>
      <c r="F357" s="9">
        <v>3303</v>
      </c>
      <c r="G357" s="5">
        <f>(F357-F356)/$G$2/(D357-D356)*100</f>
        <v>5.46133096296399</v>
      </c>
    </row>
    <row r="358" spans="1:7" x14ac:dyDescent="0.25">
      <c r="A358" s="2">
        <v>2</v>
      </c>
      <c r="B358" s="2" t="s">
        <v>45</v>
      </c>
      <c r="C358" s="2">
        <v>174</v>
      </c>
      <c r="D358" s="11">
        <v>1791327487.3854575</v>
      </c>
      <c r="E358" s="7">
        <f>D358-D185</f>
        <v>189.175753593445</v>
      </c>
      <c r="F358" s="9">
        <v>3314</v>
      </c>
      <c r="G358" s="5">
        <f>(F358-F357)/$G$2/(D358-D357)*100</f>
        <v>10.2032798776597</v>
      </c>
    </row>
    <row r="359" spans="1:7" x14ac:dyDescent="0.25">
      <c r="A359" s="2">
        <v>2</v>
      </c>
      <c r="B359" s="2" t="s">
        <v>45</v>
      </c>
      <c r="C359" s="2">
        <v>175</v>
      </c>
      <c r="D359" s="11">
        <v>1791327488.4913592</v>
      </c>
      <c r="E359" s="7">
        <f>D359-D185</f>
        <v>190.281655311584</v>
      </c>
      <c r="F359" s="9">
        <v>3326</v>
      </c>
      <c r="G359" s="5">
        <f>(F359-F358)/$G$2/(D359-D358)*100</f>
        <v>10.8508738192273</v>
      </c>
    </row>
    <row r="360" spans="1:7" x14ac:dyDescent="0.25">
      <c r="A360" s="2">
        <v>2</v>
      </c>
      <c r="B360" s="2" t="s">
        <v>45</v>
      </c>
      <c r="C360" s="2">
        <v>176</v>
      </c>
      <c r="D360" s="11">
        <v>1791327489.5710955</v>
      </c>
      <c r="E360" s="7">
        <f>D360-D185</f>
        <v>191.361391544342</v>
      </c>
      <c r="F360" s="9">
        <v>3338</v>
      </c>
      <c r="G360" s="5">
        <f>(F360-F359)/$G$2/(D360-D359)*100</f>
        <v>11.1138254287835</v>
      </c>
    </row>
    <row r="361" spans="1:7" x14ac:dyDescent="0.25">
      <c r="A361" s="2">
        <v>2</v>
      </c>
      <c r="B361" s="2" t="s">
        <v>45</v>
      </c>
      <c r="C361" s="2">
        <v>177</v>
      </c>
      <c r="D361" s="11">
        <v>1791327490.6717885</v>
      </c>
      <c r="E361" s="7">
        <f>D361-D185</f>
        <v>192.462084531784</v>
      </c>
      <c r="F361" s="9">
        <v>3368</v>
      </c>
      <c r="G361" s="5">
        <f>(F361-F360)/$G$2/(D361-D360)*100</f>
        <v>27.2555565832388</v>
      </c>
    </row>
    <row r="362" spans="1:7" x14ac:dyDescent="0.25">
      <c r="A362" s="2">
        <v>2</v>
      </c>
      <c r="B362" s="2" t="s">
        <v>45</v>
      </c>
      <c r="C362" s="2">
        <v>178</v>
      </c>
      <c r="D362" s="11">
        <v>1791327491.733349</v>
      </c>
      <c r="E362" s="7">
        <f>D362-D185</f>
        <v>193.523645162582</v>
      </c>
      <c r="F362" s="9">
        <v>3380</v>
      </c>
      <c r="G362" s="5">
        <f>(F362-F361)/$G$2/(D362-D361)*100</f>
        <v>11.3041117500519</v>
      </c>
    </row>
    <row r="363" spans="1:7" x14ac:dyDescent="0.25">
      <c r="A363" s="2">
        <v>2</v>
      </c>
      <c r="B363" s="2" t="s">
        <v>45</v>
      </c>
      <c r="C363" s="2">
        <v>179</v>
      </c>
      <c r="D363" s="11">
        <v>1791327492.8386605</v>
      </c>
      <c r="E363" s="7">
        <f>D363-D185</f>
        <v>194.62895655632</v>
      </c>
      <c r="F363" s="9">
        <v>3396</v>
      </c>
      <c r="G363" s="5">
        <f>(F363-F362)/$G$2/(D363-D362)*100</f>
        <v>14.475558734533</v>
      </c>
    </row>
    <row r="364" spans="1:7" x14ac:dyDescent="0.25">
      <c r="A364" s="2">
        <v>2</v>
      </c>
      <c r="B364" s="2" t="s">
        <v>45</v>
      </c>
      <c r="C364" s="2">
        <v>180</v>
      </c>
      <c r="D364" s="11">
        <v>1791327493.9481103</v>
      </c>
      <c r="E364" s="7">
        <f>D364-D185</f>
        <v>195.738406419754</v>
      </c>
      <c r="F364" s="9">
        <v>3407</v>
      </c>
      <c r="G364" s="5">
        <f>(F364-F363)/$G$2/(D364-D363)*100</f>
        <v>9.91482388032759</v>
      </c>
    </row>
    <row r="365" spans="1:6" x14ac:dyDescent="0.25">
      <c r="A365" s="2">
        <v>3</v>
      </c>
      <c r="B365" s="2" t="s">
        <v>42</v>
      </c>
      <c r="C365" s="2">
        <v>1</v>
      </c>
      <c r="D365" s="11">
        <v>1791327875.3462086</v>
      </c>
      <c r="E365" s="7">
        <f>D365-D365</f>
        <v>0</v>
      </c>
      <c r="F365" s="9">
        <v>923</v>
      </c>
    </row>
    <row r="366" spans="1:7" x14ac:dyDescent="0.25">
      <c r="A366" s="2">
        <v>3</v>
      </c>
      <c r="B366" s="2" t="s">
        <v>42</v>
      </c>
      <c r="C366" s="2">
        <v>2</v>
      </c>
      <c r="D366" s="11">
        <v>1791327876.4298453</v>
      </c>
      <c r="E366" s="7">
        <f>D366-D365</f>
        <v>1.08363676071167</v>
      </c>
      <c r="F366" s="9">
        <v>949</v>
      </c>
      <c r="G366" s="5">
        <f>(F366-F365)/$G$2/(D366-D365)*100</f>
        <v>23.9932797987812</v>
      </c>
    </row>
    <row r="367" spans="1:7" x14ac:dyDescent="0.25">
      <c r="A367" s="2">
        <v>3</v>
      </c>
      <c r="B367" s="2" t="s">
        <v>42</v>
      </c>
      <c r="C367" s="2">
        <v>3</v>
      </c>
      <c r="D367" s="11">
        <v>1791327877.5126457</v>
      </c>
      <c r="E367" s="7">
        <f>D367-D365</f>
        <v>2.16643714904785</v>
      </c>
      <c r="F367" s="9">
        <v>961</v>
      </c>
      <c r="G367" s="5">
        <f>(F367-F366)/$G$2/(D367-D366)*100</f>
        <v>11.0823750427713</v>
      </c>
    </row>
    <row r="368" spans="1:7" x14ac:dyDescent="0.25">
      <c r="A368" s="2">
        <v>3</v>
      </c>
      <c r="B368" s="2" t="s">
        <v>42</v>
      </c>
      <c r="C368" s="2">
        <v>4</v>
      </c>
      <c r="D368" s="11">
        <v>1791327878.587993</v>
      </c>
      <c r="E368" s="7">
        <f>D368-D365</f>
        <v>3.24178433418274</v>
      </c>
      <c r="F368" s="9">
        <v>972</v>
      </c>
      <c r="G368" s="5">
        <f>(F368-F367)/$G$2/(D368-D367)*100</f>
        <v>10.2292544696811</v>
      </c>
    </row>
    <row r="369" spans="1:7" x14ac:dyDescent="0.25">
      <c r="A369" s="2">
        <v>3</v>
      </c>
      <c r="B369" s="2" t="s">
        <v>42</v>
      </c>
      <c r="C369" s="2">
        <v>5</v>
      </c>
      <c r="D369" s="11">
        <v>1791327879.684846</v>
      </c>
      <c r="E369" s="7">
        <f>D369-D365</f>
        <v>4.33863735198975</v>
      </c>
      <c r="F369" s="9">
        <v>984</v>
      </c>
      <c r="G369" s="5">
        <f>(F369-F368)/$G$2/(D369-D368)*100</f>
        <v>10.9403901937492</v>
      </c>
    </row>
    <row r="370" spans="1:7" x14ac:dyDescent="0.25">
      <c r="A370" s="2">
        <v>3</v>
      </c>
      <c r="B370" s="2" t="s">
        <v>42</v>
      </c>
      <c r="C370" s="2">
        <v>6</v>
      </c>
      <c r="D370" s="11">
        <v>1791327880.7930374</v>
      </c>
      <c r="E370" s="7">
        <f>D370-D365</f>
        <v>5.44682884216309</v>
      </c>
      <c r="F370" s="9">
        <v>997</v>
      </c>
      <c r="G370" s="5">
        <f>(F370-F369)/$G$2/(D370-D369)*100</f>
        <v>11.7308246050207</v>
      </c>
    </row>
    <row r="371" spans="1:7" x14ac:dyDescent="0.25">
      <c r="A371" s="2">
        <v>3</v>
      </c>
      <c r="B371" s="2" t="s">
        <v>42</v>
      </c>
      <c r="C371" s="2">
        <v>7</v>
      </c>
      <c r="D371" s="11">
        <v>1791327881.8738766</v>
      </c>
      <c r="E371" s="7">
        <f>D371-D365</f>
        <v>6.52766799926758</v>
      </c>
      <c r="F371" s="9">
        <v>1006</v>
      </c>
      <c r="G371" s="5">
        <f>(F371-F370)/$G$2/(D371-D370)*100</f>
        <v>8.32686338280943</v>
      </c>
    </row>
    <row r="372" spans="1:7" x14ac:dyDescent="0.25">
      <c r="A372" s="2">
        <v>3</v>
      </c>
      <c r="B372" s="2" t="s">
        <v>42</v>
      </c>
      <c r="C372" s="2">
        <v>8</v>
      </c>
      <c r="D372" s="11">
        <v>1791327882.9306734</v>
      </c>
      <c r="E372" s="7">
        <f>D372-D365</f>
        <v>7.58446478843689</v>
      </c>
      <c r="F372" s="9">
        <v>1011</v>
      </c>
      <c r="G372" s="5">
        <f>(F372-F371)/$G$2/(D372-D371)*100</f>
        <v>4.73127856863591</v>
      </c>
    </row>
    <row r="373" spans="1:7" x14ac:dyDescent="0.25">
      <c r="A373" s="2">
        <v>3</v>
      </c>
      <c r="B373" s="2" t="s">
        <v>42</v>
      </c>
      <c r="C373" s="2">
        <v>9</v>
      </c>
      <c r="D373" s="11">
        <v>1791327884.0236266</v>
      </c>
      <c r="E373" s="7">
        <f>D373-D365</f>
        <v>8.67741799354553</v>
      </c>
      <c r="F373" s="9">
        <v>1022</v>
      </c>
      <c r="G373" s="5">
        <f>(F373-F372)/$G$2/(D373-D372)*100</f>
        <v>10.064474808788</v>
      </c>
    </row>
    <row r="374" spans="1:7" x14ac:dyDescent="0.25">
      <c r="A374" s="2">
        <v>3</v>
      </c>
      <c r="B374" s="2" t="s">
        <v>42</v>
      </c>
      <c r="C374" s="2">
        <v>10</v>
      </c>
      <c r="D374" s="11">
        <v>1791327885.1331258</v>
      </c>
      <c r="E374" s="7">
        <f>D374-D365</f>
        <v>9.78691720962524</v>
      </c>
      <c r="F374" s="9">
        <v>1035</v>
      </c>
      <c r="G374" s="5">
        <f>(F374-F373)/$G$2/(D374-D373)*100</f>
        <v>11.7169979136479</v>
      </c>
    </row>
    <row r="375" spans="1:7" x14ac:dyDescent="0.25">
      <c r="A375" s="2">
        <v>3</v>
      </c>
      <c r="B375" s="2" t="s">
        <v>42</v>
      </c>
      <c r="C375" s="2">
        <v>11</v>
      </c>
      <c r="D375" s="11">
        <v>1791327886.2672548</v>
      </c>
      <c r="E375" s="7">
        <f>D375-D365</f>
        <v>10.921046257019</v>
      </c>
      <c r="F375" s="9">
        <v>1047</v>
      </c>
      <c r="G375" s="5">
        <f>(F375-F374)/$G$2/(D375-D374)*100</f>
        <v>10.5808065030833</v>
      </c>
    </row>
    <row r="376" spans="1:7" x14ac:dyDescent="0.25">
      <c r="A376" s="2">
        <v>3</v>
      </c>
      <c r="B376" s="2" t="s">
        <v>42</v>
      </c>
      <c r="C376" s="2">
        <v>12</v>
      </c>
      <c r="D376" s="11">
        <v>1791327887.376218</v>
      </c>
      <c r="E376" s="7">
        <f>D376-D365</f>
        <v>12.0300095081329</v>
      </c>
      <c r="F376" s="9">
        <v>1065</v>
      </c>
      <c r="G376" s="5">
        <f>(F376-F375)/$G$2/(D376-D375)*100</f>
        <v>16.2313764517625</v>
      </c>
    </row>
    <row r="377" spans="1:7" x14ac:dyDescent="0.25">
      <c r="A377" s="2">
        <v>3</v>
      </c>
      <c r="B377" s="2" t="s">
        <v>42</v>
      </c>
      <c r="C377" s="2">
        <v>13</v>
      </c>
      <c r="D377" s="11">
        <v>1791327888.4775</v>
      </c>
      <c r="E377" s="7">
        <f>D377-D365</f>
        <v>13.1312913894653</v>
      </c>
      <c r="F377" s="9">
        <v>1093</v>
      </c>
      <c r="G377" s="5">
        <f>(F377-F376)/$G$2/(D377-D376)*100</f>
        <v>25.4249166127421</v>
      </c>
    </row>
    <row r="378" spans="1:7" x14ac:dyDescent="0.25">
      <c r="A378" s="2">
        <v>3</v>
      </c>
      <c r="B378" s="2" t="s">
        <v>42</v>
      </c>
      <c r="C378" s="2">
        <v>14</v>
      </c>
      <c r="D378" s="11">
        <v>1791327889.5848508</v>
      </c>
      <c r="E378" s="7">
        <f>D378-D365</f>
        <v>14.2386422157288</v>
      </c>
      <c r="F378" s="9">
        <v>1104</v>
      </c>
      <c r="G378" s="5">
        <f>(F378-F377)/$G$2/(D378-D377)*100</f>
        <v>9.93361790961739</v>
      </c>
    </row>
    <row r="379" spans="1:7" x14ac:dyDescent="0.25">
      <c r="A379" s="2">
        <v>3</v>
      </c>
      <c r="B379" s="2" t="s">
        <v>42</v>
      </c>
      <c r="C379" s="2">
        <v>15</v>
      </c>
      <c r="D379" s="11">
        <v>1791327890.6651356</v>
      </c>
      <c r="E379" s="7">
        <f>D379-D365</f>
        <v>15.3189270496368</v>
      </c>
      <c r="F379" s="9">
        <v>1116</v>
      </c>
      <c r="G379" s="5">
        <f>(F379-F378)/$G$2/(D379-D378)*100</f>
        <v>11.1081814937532</v>
      </c>
    </row>
    <row r="380" spans="1:7" x14ac:dyDescent="0.25">
      <c r="A380" s="2">
        <v>3</v>
      </c>
      <c r="B380" s="2" t="s">
        <v>42</v>
      </c>
      <c r="C380" s="2">
        <v>16</v>
      </c>
      <c r="D380" s="11">
        <v>1791327891.7279932</v>
      </c>
      <c r="E380" s="7">
        <f>D380-D365</f>
        <v>16.3817846775055</v>
      </c>
      <c r="F380" s="9">
        <v>1128</v>
      </c>
      <c r="G380" s="5">
        <f>(F380-F379)/$G$2/(D380-D379)*100</f>
        <v>11.2903174285568</v>
      </c>
    </row>
    <row r="381" spans="1:7" x14ac:dyDescent="0.25">
      <c r="A381" s="2">
        <v>3</v>
      </c>
      <c r="B381" s="2" t="s">
        <v>42</v>
      </c>
      <c r="C381" s="2">
        <v>17</v>
      </c>
      <c r="D381" s="11">
        <v>1791327892.8204691</v>
      </c>
      <c r="E381" s="7">
        <f>D381-D365</f>
        <v>17.4742605686188</v>
      </c>
      <c r="F381" s="9">
        <v>1139</v>
      </c>
      <c r="G381" s="5">
        <f>(F381-F380)/$G$2/(D381-D380)*100</f>
        <v>10.0688720817358</v>
      </c>
    </row>
    <row r="382" spans="1:7" x14ac:dyDescent="0.25">
      <c r="A382" s="2">
        <v>3</v>
      </c>
      <c r="B382" s="2" t="s">
        <v>42</v>
      </c>
      <c r="C382" s="2">
        <v>18</v>
      </c>
      <c r="D382" s="11">
        <v>1791327893.9254308</v>
      </c>
      <c r="E382" s="7">
        <f>D382-D365</f>
        <v>18.579222202301</v>
      </c>
      <c r="F382" s="9">
        <v>1151</v>
      </c>
      <c r="G382" s="5">
        <f>(F382-F381)/$G$2/(D382-D381)*100</f>
        <v>10.8601055767071</v>
      </c>
    </row>
    <row r="383" spans="1:7" x14ac:dyDescent="0.25">
      <c r="A383" s="2">
        <v>3</v>
      </c>
      <c r="B383" s="2" t="s">
        <v>42</v>
      </c>
      <c r="C383" s="2">
        <v>19</v>
      </c>
      <c r="D383" s="11">
        <v>1791327895.0325477</v>
      </c>
      <c r="E383" s="7">
        <f>D383-D365</f>
        <v>19.6863391399384</v>
      </c>
      <c r="F383" s="9">
        <v>1163</v>
      </c>
      <c r="G383" s="5">
        <f>(F383-F382)/$G$2/(D383-D382)*100</f>
        <v>10.8389634301946</v>
      </c>
    </row>
    <row r="384" spans="1:7" x14ac:dyDescent="0.25">
      <c r="A384" s="2">
        <v>3</v>
      </c>
      <c r="B384" s="2" t="s">
        <v>42</v>
      </c>
      <c r="C384" s="2">
        <v>20</v>
      </c>
      <c r="D384" s="11">
        <v>1791327896.1407483</v>
      </c>
      <c r="E384" s="7">
        <f>D384-D365</f>
        <v>20.7945396900177</v>
      </c>
      <c r="F384" s="9">
        <v>1175</v>
      </c>
      <c r="G384" s="5">
        <f>(F384-F383)/$G$2/(D384-D383)*100</f>
        <v>10.8283649553691</v>
      </c>
    </row>
    <row r="385" spans="1:7" x14ac:dyDescent="0.25">
      <c r="A385" s="2">
        <v>3</v>
      </c>
      <c r="B385" s="2" t="s">
        <v>42</v>
      </c>
      <c r="C385" s="2">
        <v>21</v>
      </c>
      <c r="D385" s="11">
        <v>1791327897.2822676</v>
      </c>
      <c r="E385" s="7">
        <f>D385-D365</f>
        <v>21.9360589981079</v>
      </c>
      <c r="F385" s="9">
        <v>1188</v>
      </c>
      <c r="G385" s="5">
        <f>(F385-F384)/$G$2/(D385-D384)*100</f>
        <v>11.3883312422891</v>
      </c>
    </row>
    <row r="386" spans="1:7" x14ac:dyDescent="0.25">
      <c r="A386" s="2">
        <v>3</v>
      </c>
      <c r="B386" s="2" t="s">
        <v>42</v>
      </c>
      <c r="C386" s="2">
        <v>22</v>
      </c>
      <c r="D386" s="11">
        <v>1791327898.3899348</v>
      </c>
      <c r="E386" s="7">
        <f>D386-D365</f>
        <v>23.0437262058258</v>
      </c>
      <c r="F386" s="9">
        <v>1201</v>
      </c>
      <c r="G386" s="5">
        <f>(F386-F385)/$G$2/(D386-D385)*100</f>
        <v>11.7363770538839</v>
      </c>
    </row>
    <row r="387" spans="1:7" x14ac:dyDescent="0.25">
      <c r="A387" s="2">
        <v>3</v>
      </c>
      <c r="B387" s="2" t="s">
        <v>42</v>
      </c>
      <c r="C387" s="2">
        <v>23</v>
      </c>
      <c r="D387" s="11">
        <v>1791327899.4917774</v>
      </c>
      <c r="E387" s="7">
        <f>D387-D365</f>
        <v>24.1455688476563</v>
      </c>
      <c r="F387" s="9">
        <v>1228</v>
      </c>
      <c r="G387" s="5">
        <f>(F387-F386)/$G$2/(D387-D386)*100</f>
        <v>24.5044065050396</v>
      </c>
    </row>
    <row r="388" spans="1:7" x14ac:dyDescent="0.25">
      <c r="A388" s="2">
        <v>3</v>
      </c>
      <c r="B388" s="2" t="s">
        <v>42</v>
      </c>
      <c r="C388" s="2">
        <v>24</v>
      </c>
      <c r="D388" s="11">
        <v>1791327900.5998116</v>
      </c>
      <c r="E388" s="7">
        <f>D388-D365</f>
        <v>25.2536029815674</v>
      </c>
      <c r="F388" s="9">
        <v>1245</v>
      </c>
      <c r="G388" s="5">
        <f>(F388-F387)/$G$2/(D388-D387)*100</f>
        <v>15.3424876361827</v>
      </c>
    </row>
    <row r="389" spans="1:7" x14ac:dyDescent="0.25">
      <c r="A389" s="2">
        <v>3</v>
      </c>
      <c r="B389" s="2" t="s">
        <v>42</v>
      </c>
      <c r="C389" s="2">
        <v>25</v>
      </c>
      <c r="D389" s="11">
        <v>1791327901.7127566</v>
      </c>
      <c r="E389" s="7">
        <f>D389-D365</f>
        <v>26.3665480613709</v>
      </c>
      <c r="F389" s="9">
        <v>1256</v>
      </c>
      <c r="G389" s="5">
        <f>(F389-F388)/$G$2/(D389-D388)*100</f>
        <v>9.88368626594088</v>
      </c>
    </row>
    <row r="390" spans="1:7" x14ac:dyDescent="0.25">
      <c r="A390" s="2">
        <v>3</v>
      </c>
      <c r="B390" s="2" t="s">
        <v>42</v>
      </c>
      <c r="C390" s="2">
        <v>26</v>
      </c>
      <c r="D390" s="11">
        <v>1791327902.7923753</v>
      </c>
      <c r="E390" s="7">
        <f>D390-D365</f>
        <v>27.4461667537689</v>
      </c>
      <c r="F390" s="9">
        <v>1268</v>
      </c>
      <c r="G390" s="5">
        <f>(F390-F389)/$G$2/(D390-D389)*100</f>
        <v>11.1150354143511</v>
      </c>
    </row>
    <row r="391" spans="1:7" x14ac:dyDescent="0.25">
      <c r="A391" s="2">
        <v>3</v>
      </c>
      <c r="B391" s="2" t="s">
        <v>42</v>
      </c>
      <c r="C391" s="2">
        <v>27</v>
      </c>
      <c r="D391" s="11">
        <v>1791327903.8973167</v>
      </c>
      <c r="E391" s="7">
        <f>D391-D365</f>
        <v>28.551108121872</v>
      </c>
      <c r="F391" s="9">
        <v>1280</v>
      </c>
      <c r="G391" s="5">
        <f>(F391-F390)/$G$2/(D391-D390)*100</f>
        <v>10.8603047604252</v>
      </c>
    </row>
    <row r="392" spans="1:7" x14ac:dyDescent="0.25">
      <c r="A392" s="2">
        <v>3</v>
      </c>
      <c r="B392" s="2" t="s">
        <v>42</v>
      </c>
      <c r="C392" s="2">
        <v>28</v>
      </c>
      <c r="D392" s="11">
        <v>1791327905.0027585</v>
      </c>
      <c r="E392" s="7">
        <f>D392-D365</f>
        <v>29.6565499305725</v>
      </c>
      <c r="F392" s="9">
        <v>1292</v>
      </c>
      <c r="G392" s="5">
        <f>(F392-F391)/$G$2/(D392-D391)*100</f>
        <v>10.8553882307979</v>
      </c>
    </row>
    <row r="393" spans="1:7" x14ac:dyDescent="0.25">
      <c r="A393" s="2">
        <v>3</v>
      </c>
      <c r="B393" s="2" t="s">
        <v>42</v>
      </c>
      <c r="C393" s="2">
        <v>29</v>
      </c>
      <c r="D393" s="11">
        <v>1791327906.108184</v>
      </c>
      <c r="E393" s="7">
        <f>D393-D365</f>
        <v>30.7619755268097</v>
      </c>
      <c r="F393" s="9">
        <v>1305</v>
      </c>
      <c r="G393" s="5">
        <f>(F393-F392)/$G$2/(D393-D392)*100</f>
        <v>11.7601763920172</v>
      </c>
    </row>
    <row r="394" spans="1:7" x14ac:dyDescent="0.25">
      <c r="A394" s="2">
        <v>3</v>
      </c>
      <c r="B394" s="2" t="s">
        <v>42</v>
      </c>
      <c r="C394" s="2">
        <v>30</v>
      </c>
      <c r="D394" s="11">
        <v>1791327907.2157428</v>
      </c>
      <c r="E394" s="7">
        <f>D394-D365</f>
        <v>31.8695342540741</v>
      </c>
      <c r="F394" s="9">
        <v>1317</v>
      </c>
      <c r="G394" s="5">
        <f>(F394-F393)/$G$2/(D394-D393)*100</f>
        <v>10.8346399198526</v>
      </c>
    </row>
    <row r="395" spans="1:7" x14ac:dyDescent="0.25">
      <c r="A395" s="2">
        <v>3</v>
      </c>
      <c r="B395" s="2" t="s">
        <v>42</v>
      </c>
      <c r="C395" s="2">
        <v>31</v>
      </c>
      <c r="D395" s="11">
        <v>1791327908.3533742</v>
      </c>
      <c r="E395" s="7">
        <f>D395-D365</f>
        <v>33.0071656703949</v>
      </c>
      <c r="F395" s="9">
        <v>1329</v>
      </c>
      <c r="G395" s="5">
        <f>(F395-F394)/$G$2/(D395-D394)*100</f>
        <v>10.5482319034482</v>
      </c>
    </row>
    <row r="396" spans="1:7" x14ac:dyDescent="0.25">
      <c r="A396" s="2">
        <v>3</v>
      </c>
      <c r="B396" s="2" t="s">
        <v>42</v>
      </c>
      <c r="C396" s="2">
        <v>32</v>
      </c>
      <c r="D396" s="11">
        <v>1791327909.4383717</v>
      </c>
      <c r="E396" s="7">
        <f>D396-D365</f>
        <v>34.0921630859375</v>
      </c>
      <c r="F396" s="9">
        <v>1341</v>
      </c>
      <c r="G396" s="5">
        <f>(F396-F395)/$G$2/(D396-D395)*100</f>
        <v>11.0599341787361</v>
      </c>
    </row>
    <row r="397" spans="1:7" x14ac:dyDescent="0.25">
      <c r="A397" s="2">
        <v>3</v>
      </c>
      <c r="B397" s="2" t="s">
        <v>42</v>
      </c>
      <c r="C397" s="2">
        <v>33</v>
      </c>
      <c r="D397" s="11">
        <v>1791327910.5447958</v>
      </c>
      <c r="E397" s="7">
        <f>D397-D365</f>
        <v>35.198587179184</v>
      </c>
      <c r="F397" s="9">
        <v>1354</v>
      </c>
      <c r="G397" s="5">
        <f>(F397-F396)/$G$2/(D397-D396)*100</f>
        <v>11.7495633720841</v>
      </c>
    </row>
    <row r="398" spans="1:7" x14ac:dyDescent="0.25">
      <c r="A398" s="2">
        <v>3</v>
      </c>
      <c r="B398" s="2" t="s">
        <v>42</v>
      </c>
      <c r="C398" s="2">
        <v>34</v>
      </c>
      <c r="D398" s="11">
        <v>1791327911.6475194</v>
      </c>
      <c r="E398" s="7">
        <f>D398-D365</f>
        <v>36.3013107776642</v>
      </c>
      <c r="F398" s="9">
        <v>1383</v>
      </c>
      <c r="G398" s="5">
        <f>(F398-F397)/$G$2/(D398-D397)*100</f>
        <v>26.2985212613277</v>
      </c>
    </row>
    <row r="399" spans="1:7" x14ac:dyDescent="0.25">
      <c r="A399" s="2">
        <v>3</v>
      </c>
      <c r="B399" s="2" t="s">
        <v>42</v>
      </c>
      <c r="C399" s="2">
        <v>35</v>
      </c>
      <c r="D399" s="11">
        <v>1791327912.7493634</v>
      </c>
      <c r="E399" s="7">
        <f>D399-D365</f>
        <v>37.4031548500061</v>
      </c>
      <c r="F399" s="9">
        <v>1396</v>
      </c>
      <c r="G399" s="5">
        <f>(F399-F398)/$G$2/(D399-D398)*100</f>
        <v>11.7984026291207</v>
      </c>
    </row>
    <row r="400" spans="1:7" x14ac:dyDescent="0.25">
      <c r="A400" s="2">
        <v>3</v>
      </c>
      <c r="B400" s="2" t="s">
        <v>42</v>
      </c>
      <c r="C400" s="2">
        <v>36</v>
      </c>
      <c r="D400" s="11">
        <v>1791327913.853502</v>
      </c>
      <c r="E400" s="7">
        <f>D400-D365</f>
        <v>38.5072934627533</v>
      </c>
      <c r="F400" s="9">
        <v>1407</v>
      </c>
      <c r="G400" s="5">
        <f>(F400-F399)/$G$2/(D400-D399)*100</f>
        <v>9.96251727184058</v>
      </c>
    </row>
    <row r="401" spans="1:7" x14ac:dyDescent="0.25">
      <c r="A401" s="2">
        <v>3</v>
      </c>
      <c r="B401" s="2" t="s">
        <v>42</v>
      </c>
      <c r="C401" s="2">
        <v>37</v>
      </c>
      <c r="D401" s="11">
        <v>1791327914.9676824</v>
      </c>
      <c r="E401" s="7">
        <f>D401-D365</f>
        <v>39.6214737892151</v>
      </c>
      <c r="F401" s="9">
        <v>1418</v>
      </c>
      <c r="G401" s="5">
        <f>(F401-F400)/$G$2/(D401-D400)*100</f>
        <v>9.87272862278207</v>
      </c>
    </row>
    <row r="402" spans="1:7" x14ac:dyDescent="0.25">
      <c r="A402" s="2">
        <v>3</v>
      </c>
      <c r="B402" s="2" t="s">
        <v>42</v>
      </c>
      <c r="C402" s="2">
        <v>38</v>
      </c>
      <c r="D402" s="11">
        <v>1791327916.074726</v>
      </c>
      <c r="E402" s="7">
        <f>D402-D365</f>
        <v>40.7285175323486</v>
      </c>
      <c r="F402" s="9">
        <v>1431</v>
      </c>
      <c r="G402" s="5">
        <f>(F402-F401)/$G$2/(D402-D401)*100</f>
        <v>11.742986743417</v>
      </c>
    </row>
    <row r="403" spans="1:7" x14ac:dyDescent="0.25">
      <c r="A403" s="2">
        <v>3</v>
      </c>
      <c r="B403" s="2" t="s">
        <v>42</v>
      </c>
      <c r="C403" s="2">
        <v>39</v>
      </c>
      <c r="D403" s="11">
        <v>1791327917.1560206</v>
      </c>
      <c r="E403" s="7">
        <f>D403-D365</f>
        <v>41.8098120689392</v>
      </c>
      <c r="F403" s="9">
        <v>1443</v>
      </c>
      <c r="G403" s="5">
        <f>(F403-F402)/$G$2/(D403-D402)*100</f>
        <v>11.097808778205</v>
      </c>
    </row>
    <row r="404" spans="1:7" x14ac:dyDescent="0.25">
      <c r="A404" s="2">
        <v>3</v>
      </c>
      <c r="B404" s="2" t="s">
        <v>42</v>
      </c>
      <c r="C404" s="2">
        <v>40</v>
      </c>
      <c r="D404" s="11">
        <v>1791327918.2613187</v>
      </c>
      <c r="E404" s="7">
        <f>D404-D365</f>
        <v>42.9151101112366</v>
      </c>
      <c r="F404" s="9">
        <v>1456</v>
      </c>
      <c r="G404" s="5">
        <f>(F404-F403)/$G$2/(D404-D403)*100</f>
        <v>11.761533543459</v>
      </c>
    </row>
    <row r="405" spans="1:7" x14ac:dyDescent="0.25">
      <c r="A405" s="2">
        <v>3</v>
      </c>
      <c r="B405" s="2" t="s">
        <v>42</v>
      </c>
      <c r="C405" s="2">
        <v>41</v>
      </c>
      <c r="D405" s="11">
        <v>1791327919.404481</v>
      </c>
      <c r="E405" s="7">
        <f>D405-D365</f>
        <v>44.0582723617554</v>
      </c>
      <c r="F405" s="9">
        <v>1468</v>
      </c>
      <c r="G405" s="5">
        <f>(F405-F404)/$G$2/(D405-D404)*100</f>
        <v>10.4971975715206</v>
      </c>
    </row>
    <row r="406" spans="1:7" x14ac:dyDescent="0.25">
      <c r="A406" s="2">
        <v>3</v>
      </c>
      <c r="B406" s="2" t="s">
        <v>42</v>
      </c>
      <c r="C406" s="2">
        <v>42</v>
      </c>
      <c r="D406" s="11">
        <v>1791327920.508072</v>
      </c>
      <c r="E406" s="7">
        <f>D406-D365</f>
        <v>45.1618633270264</v>
      </c>
      <c r="F406" s="9">
        <v>1481</v>
      </c>
      <c r="G406" s="5">
        <f>(F406-F405)/$G$2/(D406-D405)*100</f>
        <v>11.7797267367151</v>
      </c>
    </row>
    <row r="407" spans="1:7" x14ac:dyDescent="0.25">
      <c r="A407" s="2">
        <v>3</v>
      </c>
      <c r="B407" s="2" t="s">
        <v>42</v>
      </c>
      <c r="C407" s="2">
        <v>43</v>
      </c>
      <c r="D407" s="11">
        <v>1791327921.612282</v>
      </c>
      <c r="E407" s="7">
        <f>D407-D365</f>
        <v>46.2660734653473</v>
      </c>
      <c r="F407" s="9">
        <v>1494</v>
      </c>
      <c r="G407" s="5">
        <f>(F407-F406)/$G$2/(D407-D406)*100</f>
        <v>11.7731213913395</v>
      </c>
    </row>
    <row r="408" spans="1:7" x14ac:dyDescent="0.25">
      <c r="A408" s="2">
        <v>3</v>
      </c>
      <c r="B408" s="2" t="s">
        <v>42</v>
      </c>
      <c r="C408" s="2">
        <v>44</v>
      </c>
      <c r="D408" s="11">
        <v>1791327922.7173574</v>
      </c>
      <c r="E408" s="7">
        <f>D408-D365</f>
        <v>47.3711488246918</v>
      </c>
      <c r="F408" s="9">
        <v>1502</v>
      </c>
      <c r="G408" s="5">
        <f>(F408-F407)/$G$2/(D408-D407)*100</f>
        <v>7.23932529338588</v>
      </c>
    </row>
    <row r="409" spans="1:7" x14ac:dyDescent="0.25">
      <c r="A409" s="2">
        <v>3</v>
      </c>
      <c r="B409" s="2" t="s">
        <v>42</v>
      </c>
      <c r="C409" s="2">
        <v>45</v>
      </c>
      <c r="D409" s="11">
        <v>1791327923.8224025</v>
      </c>
      <c r="E409" s="7">
        <f>D409-D365</f>
        <v>48.4761939048767</v>
      </c>
      <c r="F409" s="9">
        <v>1536</v>
      </c>
      <c r="G409" s="5">
        <f>(F409-F408)/$G$2/(D409-D408)*100</f>
        <v>30.7679755420565</v>
      </c>
    </row>
    <row r="410" spans="1:7" x14ac:dyDescent="0.25">
      <c r="A410" s="2">
        <v>3</v>
      </c>
      <c r="B410" s="2" t="s">
        <v>42</v>
      </c>
      <c r="C410" s="2">
        <v>46</v>
      </c>
      <c r="D410" s="11">
        <v>1791327924.9266918</v>
      </c>
      <c r="E410" s="7">
        <f>D410-D365</f>
        <v>49.5804831981659</v>
      </c>
      <c r="F410" s="9">
        <v>1549</v>
      </c>
      <c r="G410" s="5">
        <f>(F410-F409)/$G$2/(D410-D409)*100</f>
        <v>11.7722774992039</v>
      </c>
    </row>
    <row r="411" spans="1:7" x14ac:dyDescent="0.25">
      <c r="A411" s="2">
        <v>3</v>
      </c>
      <c r="B411" s="2" t="s">
        <v>42</v>
      </c>
      <c r="C411" s="2">
        <v>47</v>
      </c>
      <c r="D411" s="11">
        <v>1791327926.012366</v>
      </c>
      <c r="E411" s="7">
        <f>D411-D365</f>
        <v>50.6661574840546</v>
      </c>
      <c r="F411" s="9">
        <v>1561</v>
      </c>
      <c r="G411" s="5">
        <f>(F411-F410)/$G$2/(D411-D410)*100</f>
        <v>11.0530387943908</v>
      </c>
    </row>
    <row r="412" spans="1:7" x14ac:dyDescent="0.25">
      <c r="A412" s="2">
        <v>3</v>
      </c>
      <c r="B412" s="2" t="s">
        <v>42</v>
      </c>
      <c r="C412" s="2">
        <v>48</v>
      </c>
      <c r="D412" s="11">
        <v>1791327927.1227598</v>
      </c>
      <c r="E412" s="7">
        <f>D412-D365</f>
        <v>51.7765512466431</v>
      </c>
      <c r="F412" s="9">
        <v>1574</v>
      </c>
      <c r="G412" s="5">
        <f>(F412-F411)/$G$2/(D412-D411)*100</f>
        <v>11.7075585598527</v>
      </c>
    </row>
    <row r="413" spans="1:7" x14ac:dyDescent="0.25">
      <c r="A413" s="2">
        <v>3</v>
      </c>
      <c r="B413" s="2" t="s">
        <v>42</v>
      </c>
      <c r="C413" s="2">
        <v>49</v>
      </c>
      <c r="D413" s="11">
        <v>1791327928.231008</v>
      </c>
      <c r="E413" s="7">
        <f>D413-D365</f>
        <v>52.8847994804382</v>
      </c>
      <c r="F413" s="9">
        <v>1587</v>
      </c>
      <c r="G413" s="5">
        <f>(F413-F412)/$G$2/(D413-D412)*100</f>
        <v>11.7302239729107</v>
      </c>
    </row>
    <row r="414" spans="1:7" x14ac:dyDescent="0.25">
      <c r="A414" s="2">
        <v>3</v>
      </c>
      <c r="B414" s="2" t="s">
        <v>42</v>
      </c>
      <c r="C414" s="2">
        <v>50</v>
      </c>
      <c r="D414" s="11">
        <v>1791327929.338892</v>
      </c>
      <c r="E414" s="7">
        <f>D414-D365</f>
        <v>53.9926834106445</v>
      </c>
      <c r="F414" s="9">
        <v>1598</v>
      </c>
      <c r="G414" s="5">
        <f>(F414-F413)/$G$2/(D414-D413)*100</f>
        <v>9.92883794058796</v>
      </c>
    </row>
    <row r="415" spans="1:7" x14ac:dyDescent="0.25">
      <c r="A415" s="2">
        <v>3</v>
      </c>
      <c r="B415" s="2" t="s">
        <v>42</v>
      </c>
      <c r="C415" s="2">
        <v>51</v>
      </c>
      <c r="D415" s="11">
        <v>1791327930.460057</v>
      </c>
      <c r="E415" s="7">
        <f>D415-D365</f>
        <v>55.1138484477997</v>
      </c>
      <c r="F415" s="9">
        <v>1611</v>
      </c>
      <c r="G415" s="5">
        <f>(F415-F414)/$G$2/(D415-D414)*100</f>
        <v>11.5950815171567</v>
      </c>
    </row>
    <row r="416" spans="1:7" x14ac:dyDescent="0.25">
      <c r="A416" s="2">
        <v>3</v>
      </c>
      <c r="B416" s="2" t="s">
        <v>42</v>
      </c>
      <c r="C416" s="2">
        <v>52</v>
      </c>
      <c r="D416" s="11">
        <v>1791327931.5399733</v>
      </c>
      <c r="E416" s="7">
        <f>D416-D365</f>
        <v>56.1937646865845</v>
      </c>
      <c r="F416" s="9">
        <v>1623</v>
      </c>
      <c r="G416" s="5">
        <f>(F416-F415)/$G$2/(D416-D415)*100</f>
        <v>11.1119729188473</v>
      </c>
    </row>
    <row r="417" spans="1:7" x14ac:dyDescent="0.25">
      <c r="A417" s="2">
        <v>3</v>
      </c>
      <c r="B417" s="2" t="s">
        <v>42</v>
      </c>
      <c r="C417" s="2">
        <v>53</v>
      </c>
      <c r="D417" s="11">
        <v>1791327932.641237</v>
      </c>
      <c r="E417" s="7">
        <f>D417-D365</f>
        <v>57.2950284481049</v>
      </c>
      <c r="F417" s="9">
        <v>1636</v>
      </c>
      <c r="G417" s="5">
        <f>(F417-F416)/$G$2/(D417-D416)*100</f>
        <v>11.8046197961262</v>
      </c>
    </row>
    <row r="418" spans="1:7" x14ac:dyDescent="0.25">
      <c r="A418" s="2">
        <v>3</v>
      </c>
      <c r="B418" s="2" t="s">
        <v>42</v>
      </c>
      <c r="C418" s="2">
        <v>54</v>
      </c>
      <c r="D418" s="11">
        <v>1791327933.7470944</v>
      </c>
      <c r="E418" s="7">
        <f>D418-D365</f>
        <v>58.4008858203888</v>
      </c>
      <c r="F418" s="9">
        <v>1647</v>
      </c>
      <c r="G418" s="5">
        <f>(F418-F417)/$G$2/(D418-D417)*100</f>
        <v>9.94703320309889</v>
      </c>
    </row>
    <row r="419" spans="1:7" x14ac:dyDescent="0.25">
      <c r="A419" s="2">
        <v>3</v>
      </c>
      <c r="B419" s="2" t="s">
        <v>42</v>
      </c>
      <c r="C419" s="2">
        <v>55</v>
      </c>
      <c r="D419" s="11">
        <v>1791327934.855368</v>
      </c>
      <c r="E419" s="7">
        <f>D419-D365</f>
        <v>59.5091593265534</v>
      </c>
      <c r="F419" s="9">
        <v>1659</v>
      </c>
      <c r="G419" s="5">
        <f>(F419-F418)/$G$2/(D419-D418)*100</f>
        <v>10.8276521393432</v>
      </c>
    </row>
    <row r="420" spans="1:7" x14ac:dyDescent="0.25">
      <c r="A420" s="2">
        <v>3</v>
      </c>
      <c r="B420" s="2" t="s">
        <v>42</v>
      </c>
      <c r="C420" s="2">
        <v>56</v>
      </c>
      <c r="D420" s="11">
        <v>1791327935.9635684</v>
      </c>
      <c r="E420" s="7">
        <f>D420-D365</f>
        <v>60.6173598766327</v>
      </c>
      <c r="F420" s="9">
        <v>1691</v>
      </c>
      <c r="G420" s="5">
        <f>(F420-F419)/$G$2/(D420-D419)*100</f>
        <v>28.8756398809844</v>
      </c>
    </row>
    <row r="421" spans="1:7" x14ac:dyDescent="0.25">
      <c r="A421" s="2">
        <v>3</v>
      </c>
      <c r="B421" s="2" t="s">
        <v>42</v>
      </c>
      <c r="C421" s="2">
        <v>57</v>
      </c>
      <c r="D421" s="11">
        <v>1791327937.0460188</v>
      </c>
      <c r="E421" s="7">
        <f>D421-D365</f>
        <v>61.6998102664948</v>
      </c>
      <c r="F421" s="9">
        <v>1703</v>
      </c>
      <c r="G421" s="5">
        <f>(F421-F420)/$G$2/(D421-D420)*100</f>
        <v>11.0859584073217</v>
      </c>
    </row>
    <row r="422" spans="1:7" x14ac:dyDescent="0.25">
      <c r="A422" s="2">
        <v>3</v>
      </c>
      <c r="B422" s="2" t="s">
        <v>42</v>
      </c>
      <c r="C422" s="2">
        <v>58</v>
      </c>
      <c r="D422" s="11">
        <v>1791327938.1446402</v>
      </c>
      <c r="E422" s="7">
        <f>D422-D365</f>
        <v>62.798431634903</v>
      </c>
      <c r="F422" s="9">
        <v>1715</v>
      </c>
      <c r="G422" s="5">
        <f>(F422-F421)/$G$2/(D422-D421)*100</f>
        <v>10.9227804456296</v>
      </c>
    </row>
    <row r="423" spans="1:7" x14ac:dyDescent="0.25">
      <c r="A423" s="2">
        <v>3</v>
      </c>
      <c r="B423" s="2" t="s">
        <v>42</v>
      </c>
      <c r="C423" s="2">
        <v>59</v>
      </c>
      <c r="D423" s="11">
        <v>1791327939.2521925</v>
      </c>
      <c r="E423" s="7">
        <f>D423-D365</f>
        <v>63.9059839248657</v>
      </c>
      <c r="F423" s="9">
        <v>1728</v>
      </c>
      <c r="G423" s="5">
        <f>(F423-F422)/$G$2/(D423-D422)*100</f>
        <v>11.7375948005462</v>
      </c>
    </row>
    <row r="424" spans="1:7" x14ac:dyDescent="0.25">
      <c r="A424" s="2">
        <v>3</v>
      </c>
      <c r="B424" s="2" t="s">
        <v>42</v>
      </c>
      <c r="C424" s="2">
        <v>60</v>
      </c>
      <c r="D424" s="11">
        <v>1791327940.3594022</v>
      </c>
      <c r="E424" s="7">
        <f>D424-D365</f>
        <v>65.0131936073303</v>
      </c>
      <c r="F424" s="9">
        <v>1741</v>
      </c>
      <c r="G424" s="5">
        <f>(F424-F423)/$G$2/(D424-D423)*100</f>
        <v>11.741226802734</v>
      </c>
    </row>
    <row r="425" spans="1:7" x14ac:dyDescent="0.25">
      <c r="A425" s="2">
        <v>3</v>
      </c>
      <c r="B425" s="2" t="s">
        <v>42</v>
      </c>
      <c r="C425" s="2">
        <v>61</v>
      </c>
      <c r="D425" s="11">
        <v>1791327941.4572244</v>
      </c>
      <c r="E425" s="7">
        <f>D425-D365</f>
        <v>66.1110157966614</v>
      </c>
      <c r="F425" s="9">
        <v>1753</v>
      </c>
      <c r="G425" s="5">
        <f>(F425-F424)/$G$2/(D425-D424)*100</f>
        <v>10.9307318768188</v>
      </c>
    </row>
    <row r="426" spans="1:7" x14ac:dyDescent="0.25">
      <c r="A426" s="2">
        <v>3</v>
      </c>
      <c r="B426" s="2" t="s">
        <v>42</v>
      </c>
      <c r="C426" s="2">
        <v>62</v>
      </c>
      <c r="D426" s="11">
        <v>1791327942.5658672</v>
      </c>
      <c r="E426" s="7">
        <f>D426-D365</f>
        <v>67.219658613205</v>
      </c>
      <c r="F426" s="9">
        <v>1766</v>
      </c>
      <c r="G426" s="5">
        <f>(F426-F425)/$G$2/(D426-D425)*100</f>
        <v>11.7260490087602</v>
      </c>
    </row>
    <row r="427" spans="1:7" x14ac:dyDescent="0.25">
      <c r="A427" s="2">
        <v>3</v>
      </c>
      <c r="B427" s="2" t="s">
        <v>42</v>
      </c>
      <c r="C427" s="2">
        <v>63</v>
      </c>
      <c r="D427" s="11">
        <v>1791327943.6720314</v>
      </c>
      <c r="E427" s="7">
        <f>D427-D365</f>
        <v>68.3258228302002</v>
      </c>
      <c r="F427" s="9">
        <v>1777</v>
      </c>
      <c r="G427" s="5">
        <f>(F427-F426)/$G$2/(D427-D426)*100</f>
        <v>9.94427394323075</v>
      </c>
    </row>
    <row r="428" spans="1:7" x14ac:dyDescent="0.25">
      <c r="A428" s="2">
        <v>3</v>
      </c>
      <c r="B428" s="2" t="s">
        <v>42</v>
      </c>
      <c r="C428" s="2">
        <v>64</v>
      </c>
      <c r="D428" s="11">
        <v>1791327944.779996</v>
      </c>
      <c r="E428" s="7">
        <f>D428-D365</f>
        <v>69.4337873458862</v>
      </c>
      <c r="F428" s="9">
        <v>1790</v>
      </c>
      <c r="G428" s="5">
        <f>(F428-F427)/$G$2/(D428-D427)*100</f>
        <v>11.7332277486798</v>
      </c>
    </row>
    <row r="429" spans="1:7" x14ac:dyDescent="0.25">
      <c r="A429" s="2">
        <v>3</v>
      </c>
      <c r="B429" s="2" t="s">
        <v>42</v>
      </c>
      <c r="C429" s="2">
        <v>65</v>
      </c>
      <c r="D429" s="11">
        <v>1791327945.8934236</v>
      </c>
      <c r="E429" s="7">
        <f>D429-D365</f>
        <v>70.5472149848938</v>
      </c>
      <c r="F429" s="9">
        <v>1802</v>
      </c>
      <c r="G429" s="5">
        <f>(F429-F428)/$G$2/(D429-D428)*100</f>
        <v>10.7775301955823</v>
      </c>
    </row>
    <row r="430" spans="1:7" x14ac:dyDescent="0.25">
      <c r="A430" s="2">
        <v>3</v>
      </c>
      <c r="B430" s="2" t="s">
        <v>42</v>
      </c>
      <c r="C430" s="2">
        <v>66</v>
      </c>
      <c r="D430" s="11">
        <v>1791327947.0026605</v>
      </c>
      <c r="E430" s="7">
        <f>D430-D365</f>
        <v>71.6564519405365</v>
      </c>
      <c r="F430" s="9">
        <v>1814</v>
      </c>
      <c r="G430" s="5">
        <f>(F430-F429)/$G$2/(D430-D429)*100</f>
        <v>10.8182475700578</v>
      </c>
    </row>
    <row r="431" spans="1:7" x14ac:dyDescent="0.25">
      <c r="A431" s="2">
        <v>3</v>
      </c>
      <c r="B431" s="2" t="s">
        <v>42</v>
      </c>
      <c r="C431" s="2">
        <v>67</v>
      </c>
      <c r="D431" s="11">
        <v>1791327948.109107</v>
      </c>
      <c r="E431" s="7">
        <f>D431-D365</f>
        <v>72.7628984451294</v>
      </c>
      <c r="F431" s="9">
        <v>1843</v>
      </c>
      <c r="G431" s="5">
        <f>(F431-F430)/$G$2/(D431-D430)*100</f>
        <v>26.2100335439807</v>
      </c>
    </row>
    <row r="432" spans="1:7" x14ac:dyDescent="0.25">
      <c r="A432" s="2">
        <v>3</v>
      </c>
      <c r="B432" s="2" t="s">
        <v>42</v>
      </c>
      <c r="C432" s="2">
        <v>68</v>
      </c>
      <c r="D432" s="11">
        <v>1791327949.2172716</v>
      </c>
      <c r="E432" s="7">
        <f>D432-D365</f>
        <v>73.8710629940033</v>
      </c>
      <c r="F432" s="9">
        <v>1855</v>
      </c>
      <c r="G432" s="5">
        <f>(F432-F431)/$G$2/(D432-D431)*100</f>
        <v>10.8287167390386</v>
      </c>
    </row>
    <row r="433" spans="1:7" x14ac:dyDescent="0.25">
      <c r="A433" s="2">
        <v>3</v>
      </c>
      <c r="B433" s="2" t="s">
        <v>42</v>
      </c>
      <c r="C433" s="2">
        <v>69</v>
      </c>
      <c r="D433" s="11">
        <v>1791327950.3228397</v>
      </c>
      <c r="E433" s="7">
        <f>D433-D365</f>
        <v>74.9766311645508</v>
      </c>
      <c r="F433" s="9">
        <v>1868</v>
      </c>
      <c r="G433" s="5">
        <f>(F433-F432)/$G$2/(D433-D432)*100</f>
        <v>11.758659797127</v>
      </c>
    </row>
    <row r="434" spans="1:7" x14ac:dyDescent="0.25">
      <c r="A434" s="2">
        <v>3</v>
      </c>
      <c r="B434" s="2" t="s">
        <v>42</v>
      </c>
      <c r="C434" s="2">
        <v>70</v>
      </c>
      <c r="D434" s="11">
        <v>1791327951.406671</v>
      </c>
      <c r="E434" s="7">
        <f>D434-D365</f>
        <v>76.060462474823</v>
      </c>
      <c r="F434" s="9">
        <v>1877</v>
      </c>
      <c r="G434" s="5">
        <f>(F434-F433)/$G$2/(D434-D433)*100</f>
        <v>8.30387525687881</v>
      </c>
    </row>
    <row r="435" spans="1:7" x14ac:dyDescent="0.25">
      <c r="A435" s="2">
        <v>3</v>
      </c>
      <c r="B435" s="2" t="s">
        <v>42</v>
      </c>
      <c r="C435" s="2">
        <v>71</v>
      </c>
      <c r="D435" s="11">
        <v>1791327952.4935777</v>
      </c>
      <c r="E435" s="7">
        <f>D435-D365</f>
        <v>77.1473691463471</v>
      </c>
      <c r="F435" s="9">
        <v>1890</v>
      </c>
      <c r="G435" s="5">
        <f>(F435-F434)/$G$2/(D435-D434)*100</f>
        <v>11.9605485370437</v>
      </c>
    </row>
    <row r="436" spans="1:7" x14ac:dyDescent="0.25">
      <c r="A436" s="2">
        <v>3</v>
      </c>
      <c r="B436" s="2" t="s">
        <v>42</v>
      </c>
      <c r="C436" s="2">
        <v>72</v>
      </c>
      <c r="D436" s="11">
        <v>1791327953.576102</v>
      </c>
      <c r="E436" s="7">
        <f>D436-D365</f>
        <v>78.2298934459686</v>
      </c>
      <c r="F436" s="9">
        <v>1902</v>
      </c>
      <c r="G436" s="5">
        <f>(F436-F435)/$G$2/(D436-D435)*100</f>
        <v>11.0852015092824</v>
      </c>
    </row>
    <row r="437" spans="1:7" x14ac:dyDescent="0.25">
      <c r="A437" s="2">
        <v>3</v>
      </c>
      <c r="B437" s="2" t="s">
        <v>42</v>
      </c>
      <c r="C437" s="2">
        <v>73</v>
      </c>
      <c r="D437" s="11">
        <v>1791327954.684311</v>
      </c>
      <c r="E437" s="7">
        <f>D437-D365</f>
        <v>79.3381023406982</v>
      </c>
      <c r="F437" s="9">
        <v>1915</v>
      </c>
      <c r="G437" s="5">
        <f>(F437-F436)/$G$2/(D437-D436)*100</f>
        <v>11.7306403709851</v>
      </c>
    </row>
    <row r="438" spans="1:7" x14ac:dyDescent="0.25">
      <c r="A438" s="2">
        <v>3</v>
      </c>
      <c r="B438" s="2" t="s">
        <v>42</v>
      </c>
      <c r="C438" s="2">
        <v>74</v>
      </c>
      <c r="D438" s="11">
        <v>1791327955.7907033</v>
      </c>
      <c r="E438" s="7">
        <f>D438-D365</f>
        <v>80.4444947242737</v>
      </c>
      <c r="F438" s="9">
        <v>1927</v>
      </c>
      <c r="G438" s="5">
        <f>(F438-F437)/$G$2/(D438-D437)*100</f>
        <v>10.8460616487801</v>
      </c>
    </row>
    <row r="439" spans="1:7" x14ac:dyDescent="0.25">
      <c r="A439" s="2">
        <v>3</v>
      </c>
      <c r="B439" s="2" t="s">
        <v>42</v>
      </c>
      <c r="C439" s="2">
        <v>75</v>
      </c>
      <c r="D439" s="11">
        <v>1791327956.8734815</v>
      </c>
      <c r="E439" s="7">
        <f>D439-D365</f>
        <v>81.527272939682</v>
      </c>
      <c r="F439" s="9">
        <v>1939</v>
      </c>
      <c r="G439" s="5">
        <f>(F439-F438)/$G$2/(D439-D438)*100</f>
        <v>11.082601985555</v>
      </c>
    </row>
    <row r="440" spans="1:7" x14ac:dyDescent="0.25">
      <c r="A440" s="2">
        <v>3</v>
      </c>
      <c r="B440" s="2" t="s">
        <v>42</v>
      </c>
      <c r="C440" s="2">
        <v>76</v>
      </c>
      <c r="D440" s="11">
        <v>1791327957.9369757</v>
      </c>
      <c r="E440" s="7">
        <f>D440-D365</f>
        <v>82.5907671451569</v>
      </c>
      <c r="F440" s="9">
        <v>1950</v>
      </c>
      <c r="G440" s="5">
        <f>(F440-F439)/$G$2/(D440-D439)*100</f>
        <v>10.3432627496907</v>
      </c>
    </row>
    <row r="441" spans="1:7" x14ac:dyDescent="0.25">
      <c r="A441" s="2">
        <v>3</v>
      </c>
      <c r="B441" s="2" t="s">
        <v>42</v>
      </c>
      <c r="C441" s="2">
        <v>77</v>
      </c>
      <c r="D441" s="11">
        <v>1791327959.0386572</v>
      </c>
      <c r="E441" s="7">
        <f>D441-D365</f>
        <v>83.6924486160278</v>
      </c>
      <c r="F441" s="9">
        <v>1963</v>
      </c>
      <c r="G441" s="5">
        <f>(F441-F440)/$G$2/(D441-D440)*100</f>
        <v>11.8001440014439</v>
      </c>
    </row>
    <row r="442" spans="1:7" x14ac:dyDescent="0.25">
      <c r="A442" s="2">
        <v>3</v>
      </c>
      <c r="B442" s="2" t="s">
        <v>42</v>
      </c>
      <c r="C442" s="2">
        <v>78</v>
      </c>
      <c r="D442" s="11">
        <v>1791327960.1288955</v>
      </c>
      <c r="E442" s="7">
        <f>D442-D365</f>
        <v>84.7826869487763</v>
      </c>
      <c r="F442" s="9">
        <v>1994</v>
      </c>
      <c r="G442" s="5">
        <f>(F442-F441)/$G$2/(D442-D441)*100</f>
        <v>28.4341497348118</v>
      </c>
    </row>
    <row r="443" spans="1:7" x14ac:dyDescent="0.25">
      <c r="A443" s="2">
        <v>3</v>
      </c>
      <c r="B443" s="2" t="s">
        <v>42</v>
      </c>
      <c r="C443" s="2">
        <v>79</v>
      </c>
      <c r="D443" s="11">
        <v>1791327961.2234514</v>
      </c>
      <c r="E443" s="7">
        <f>D443-D365</f>
        <v>85.8772428035736</v>
      </c>
      <c r="F443" s="9">
        <v>2007</v>
      </c>
      <c r="G443" s="5">
        <f>(F443-F442)/$G$2/(D443-D442)*100</f>
        <v>11.8769635583437</v>
      </c>
    </row>
    <row r="444" spans="1:7" x14ac:dyDescent="0.25">
      <c r="A444" s="2">
        <v>3</v>
      </c>
      <c r="B444" s="2" t="s">
        <v>42</v>
      </c>
      <c r="C444" s="2">
        <v>80</v>
      </c>
      <c r="D444" s="11">
        <v>1791327962.3273625</v>
      </c>
      <c r="E444" s="7">
        <f>D444-D365</f>
        <v>86.9811539649963</v>
      </c>
      <c r="F444" s="9">
        <v>2019</v>
      </c>
      <c r="G444" s="5">
        <f>(F444-F443)/$G$2/(D444-D443)*100</f>
        <v>10.870439958714</v>
      </c>
    </row>
    <row r="445" spans="1:7" x14ac:dyDescent="0.25">
      <c r="A445" s="2">
        <v>3</v>
      </c>
      <c r="B445" s="2" t="s">
        <v>42</v>
      </c>
      <c r="C445" s="2">
        <v>81</v>
      </c>
      <c r="D445" s="11">
        <v>1791327963.4685447</v>
      </c>
      <c r="E445" s="7">
        <f>D445-D365</f>
        <v>88.1223361492157</v>
      </c>
      <c r="F445" s="9">
        <v>2032</v>
      </c>
      <c r="G445" s="5">
        <f>(F445-F444)/$G$2/(D445-D444)*100</f>
        <v>11.3916955414904</v>
      </c>
    </row>
    <row r="446" spans="1:7" x14ac:dyDescent="0.25">
      <c r="A446" s="2">
        <v>3</v>
      </c>
      <c r="B446" s="2" t="s">
        <v>42</v>
      </c>
      <c r="C446" s="2">
        <v>82</v>
      </c>
      <c r="D446" s="11">
        <v>1791327964.56939</v>
      </c>
      <c r="E446" s="7">
        <f>D446-D365</f>
        <v>89.2231814861298</v>
      </c>
      <c r="F446" s="9">
        <v>2044</v>
      </c>
      <c r="G446" s="5">
        <f>(F446-F445)/$G$2/(D446-D445)*100</f>
        <v>10.900713840183</v>
      </c>
    </row>
    <row r="447" spans="1:7" x14ac:dyDescent="0.25">
      <c r="A447" s="2">
        <v>3</v>
      </c>
      <c r="B447" s="2" t="s">
        <v>42</v>
      </c>
      <c r="C447" s="2">
        <v>83</v>
      </c>
      <c r="D447" s="11">
        <v>1791327965.6789954</v>
      </c>
      <c r="E447" s="7">
        <f>D447-D365</f>
        <v>90.3327867984772</v>
      </c>
      <c r="F447" s="9">
        <v>2056</v>
      </c>
      <c r="G447" s="5">
        <f>(F447-F446)/$G$2/(D447-D446)*100</f>
        <v>10.814656226378</v>
      </c>
    </row>
    <row r="448" spans="1:7" x14ac:dyDescent="0.25">
      <c r="A448" s="2">
        <v>3</v>
      </c>
      <c r="B448" s="2" t="s">
        <v>42</v>
      </c>
      <c r="C448" s="2">
        <v>84</v>
      </c>
      <c r="D448" s="11">
        <v>1791327966.7827163</v>
      </c>
      <c r="E448" s="7">
        <f>D448-D365</f>
        <v>91.4365077018738</v>
      </c>
      <c r="F448" s="9">
        <v>2069</v>
      </c>
      <c r="G448" s="5">
        <f>(F448-F447)/$G$2/(D448-D447)*100</f>
        <v>11.7783399408253</v>
      </c>
    </row>
    <row r="449" spans="1:7" x14ac:dyDescent="0.25">
      <c r="A449" s="2">
        <v>3</v>
      </c>
      <c r="B449" s="2" t="s">
        <v>42</v>
      </c>
      <c r="C449" s="2">
        <v>85</v>
      </c>
      <c r="D449" s="11">
        <v>1791327967.8487034</v>
      </c>
      <c r="E449" s="7">
        <f>D449-D365</f>
        <v>92.5024948120117</v>
      </c>
      <c r="F449" s="9">
        <v>2081</v>
      </c>
      <c r="G449" s="5">
        <f>(F449-F448)/$G$2/(D449-D448)*100</f>
        <v>11.2571717667836</v>
      </c>
    </row>
    <row r="450" spans="1:7" x14ac:dyDescent="0.25">
      <c r="A450" s="2">
        <v>3</v>
      </c>
      <c r="B450" s="2" t="s">
        <v>42</v>
      </c>
      <c r="C450" s="2">
        <v>86</v>
      </c>
      <c r="D450" s="11">
        <v>1791327968.943147</v>
      </c>
      <c r="E450" s="7">
        <f>D450-D365</f>
        <v>93.5969383716583</v>
      </c>
      <c r="F450" s="9">
        <v>2094</v>
      </c>
      <c r="G450" s="5">
        <f>(F450-F449)/$G$2/(D450-D449)*100</f>
        <v>11.8781821916862</v>
      </c>
    </row>
    <row r="451" spans="1:7" x14ac:dyDescent="0.25">
      <c r="A451" s="2">
        <v>3</v>
      </c>
      <c r="B451" s="2" t="s">
        <v>42</v>
      </c>
      <c r="C451" s="2">
        <v>87</v>
      </c>
      <c r="D451" s="11">
        <v>1791327970.0553114</v>
      </c>
      <c r="E451" s="7">
        <f>D451-D365</f>
        <v>94.7091028690338</v>
      </c>
      <c r="F451" s="9">
        <v>2107</v>
      </c>
      <c r="G451" s="5">
        <f>(F451-F450)/$G$2/(D451-D450)*100</f>
        <v>11.6889183485696</v>
      </c>
    </row>
    <row r="452" spans="1:7" x14ac:dyDescent="0.25">
      <c r="A452" s="2">
        <v>3</v>
      </c>
      <c r="B452" s="2" t="s">
        <v>42</v>
      </c>
      <c r="C452" s="2">
        <v>88</v>
      </c>
      <c r="D452" s="11">
        <v>1791327971.1527336</v>
      </c>
      <c r="E452" s="7">
        <f>D452-D365</f>
        <v>95.8065249919891</v>
      </c>
      <c r="F452" s="9">
        <v>2124</v>
      </c>
      <c r="G452" s="5">
        <f>(F452-F451)/$G$2/(D452-D451)*100</f>
        <v>15.4908486391905</v>
      </c>
    </row>
    <row r="453" spans="1:7" x14ac:dyDescent="0.25">
      <c r="A453" s="2">
        <v>3</v>
      </c>
      <c r="B453" s="2" t="s">
        <v>42</v>
      </c>
      <c r="C453" s="2">
        <v>89</v>
      </c>
      <c r="D453" s="11">
        <v>1791327972.2515593</v>
      </c>
      <c r="E453" s="7">
        <f>D453-D365</f>
        <v>96.9053506851196</v>
      </c>
      <c r="F453" s="9">
        <v>2147</v>
      </c>
      <c r="G453" s="5">
        <f>(F453-F452)/$G$2/(D453-D452)*100</f>
        <v>20.9314362994865</v>
      </c>
    </row>
    <row r="454" spans="1:7" x14ac:dyDescent="0.25">
      <c r="A454" s="2">
        <v>3</v>
      </c>
      <c r="B454" s="2" t="s">
        <v>42</v>
      </c>
      <c r="C454" s="2">
        <v>90</v>
      </c>
      <c r="D454" s="11">
        <v>1791327973.3580096</v>
      </c>
      <c r="E454" s="7">
        <f>D454-D365</f>
        <v>98.0118010044098</v>
      </c>
      <c r="F454" s="9">
        <v>2160</v>
      </c>
      <c r="G454" s="5">
        <f>(F454-F453)/$G$2/(D454-D453)*100</f>
        <v>11.7492848737575</v>
      </c>
    </row>
    <row r="455" spans="1:7" x14ac:dyDescent="0.25">
      <c r="A455" s="2">
        <v>3</v>
      </c>
      <c r="B455" s="2" t="s">
        <v>42</v>
      </c>
      <c r="C455" s="2">
        <v>91</v>
      </c>
      <c r="D455" s="11">
        <v>1791327974.4957197</v>
      </c>
      <c r="E455" s="7">
        <f>D455-D365</f>
        <v>99.1495110988617</v>
      </c>
      <c r="F455" s="9">
        <v>2170</v>
      </c>
      <c r="G455" s="5">
        <f>(F455-F454)/$G$2/(D455-D454)*100</f>
        <v>8.78958536868528</v>
      </c>
    </row>
    <row r="456" spans="1:7" x14ac:dyDescent="0.25">
      <c r="A456" s="2">
        <v>3</v>
      </c>
      <c r="B456" s="2" t="s">
        <v>42</v>
      </c>
      <c r="C456" s="2">
        <v>92</v>
      </c>
      <c r="D456" s="11">
        <v>1791327975.5813372</v>
      </c>
      <c r="E456" s="7">
        <f>D456-D365</f>
        <v>100.235128641129</v>
      </c>
      <c r="F456" s="9">
        <v>2182</v>
      </c>
      <c r="G456" s="5">
        <f>(F456-F455)/$G$2/(D456-D455)*100</f>
        <v>11.0536165203661</v>
      </c>
    </row>
    <row r="457" spans="1:7" x14ac:dyDescent="0.25">
      <c r="A457" s="2">
        <v>3</v>
      </c>
      <c r="B457" s="2" t="s">
        <v>42</v>
      </c>
      <c r="C457" s="2">
        <v>93</v>
      </c>
      <c r="D457" s="11">
        <v>1791327976.6438668</v>
      </c>
      <c r="E457" s="7">
        <f>D457-D365</f>
        <v>101.297658205032</v>
      </c>
      <c r="F457" s="9">
        <v>2194</v>
      </c>
      <c r="G457" s="5">
        <f>(F457-F456)/$G$2/(D457-D456)*100</f>
        <v>11.2938033986661</v>
      </c>
    </row>
    <row r="458" spans="1:7" x14ac:dyDescent="0.25">
      <c r="A458" s="2">
        <v>3</v>
      </c>
      <c r="B458" s="2" t="s">
        <v>42</v>
      </c>
      <c r="C458" s="2">
        <v>94</v>
      </c>
      <c r="D458" s="11">
        <v>1791327977.7126765</v>
      </c>
      <c r="E458" s="7">
        <f>D458-D365</f>
        <v>102.366467952728</v>
      </c>
      <c r="F458" s="9">
        <v>2206</v>
      </c>
      <c r="G458" s="5">
        <f>(F458-F457)/$G$2/(D458-D457)*100</f>
        <v>11.2274425133836</v>
      </c>
    </row>
    <row r="459" spans="1:7" x14ac:dyDescent="0.25">
      <c r="A459" s="2">
        <v>3</v>
      </c>
      <c r="B459" s="2" t="s">
        <v>42</v>
      </c>
      <c r="C459" s="2">
        <v>95</v>
      </c>
      <c r="D459" s="11">
        <v>1791327978.8107154</v>
      </c>
      <c r="E459" s="7">
        <f>D459-D365</f>
        <v>103.464506864548</v>
      </c>
      <c r="F459" s="9">
        <v>2217</v>
      </c>
      <c r="G459" s="5">
        <f>(F459-F458)/$G$2/(D459-D458)*100</f>
        <v>10.0178599151581</v>
      </c>
    </row>
    <row r="460" spans="1:7" x14ac:dyDescent="0.25">
      <c r="A460" s="2">
        <v>3</v>
      </c>
      <c r="B460" s="2" t="s">
        <v>42</v>
      </c>
      <c r="C460" s="2">
        <v>96</v>
      </c>
      <c r="D460" s="11">
        <v>1791327979.901436</v>
      </c>
      <c r="E460" s="7">
        <f>D460-D365</f>
        <v>104.555227518082</v>
      </c>
      <c r="F460" s="9">
        <v>2227</v>
      </c>
      <c r="G460" s="5">
        <f>(F460-F459)/$G$2/(D460-D459)*100</f>
        <v>9.16825033760935</v>
      </c>
    </row>
    <row r="461" spans="1:7" x14ac:dyDescent="0.25">
      <c r="A461" s="2">
        <v>3</v>
      </c>
      <c r="B461" s="2" t="s">
        <v>42</v>
      </c>
      <c r="C461" s="2">
        <v>97</v>
      </c>
      <c r="D461" s="11">
        <v>1791327981.0037618</v>
      </c>
      <c r="E461" s="7">
        <f>D461-D365</f>
        <v>105.657553195953</v>
      </c>
      <c r="F461" s="9">
        <v>2240</v>
      </c>
      <c r="G461" s="5">
        <f>(F461-F460)/$G$2/(D461-D460)*100</f>
        <v>11.7932479129938</v>
      </c>
    </row>
    <row r="462" spans="1:7" x14ac:dyDescent="0.25">
      <c r="A462" s="2">
        <v>3</v>
      </c>
      <c r="B462" s="2" t="s">
        <v>42</v>
      </c>
      <c r="C462" s="2">
        <v>98</v>
      </c>
      <c r="D462" s="11">
        <v>1791327982.109</v>
      </c>
      <c r="E462" s="7">
        <f>D462-D365</f>
        <v>106.762791395187</v>
      </c>
      <c r="F462" s="9">
        <v>2252</v>
      </c>
      <c r="G462" s="5">
        <f>(F462-F461)/$G$2/(D462-D461)*100</f>
        <v>10.8573880348297</v>
      </c>
    </row>
    <row r="463" spans="1:7" x14ac:dyDescent="0.25">
      <c r="A463" s="2">
        <v>3</v>
      </c>
      <c r="B463" s="2" t="s">
        <v>42</v>
      </c>
      <c r="C463" s="2">
        <v>99</v>
      </c>
      <c r="D463" s="11">
        <v>1791327983.2078717</v>
      </c>
      <c r="E463" s="7">
        <f>D463-D365</f>
        <v>107.861663103104</v>
      </c>
      <c r="F463" s="9">
        <v>2267</v>
      </c>
      <c r="G463" s="5">
        <f>(F463-F462)/$G$2/(D463-D462)*100</f>
        <v>13.6503650898828</v>
      </c>
    </row>
    <row r="464" spans="1:7" x14ac:dyDescent="0.25">
      <c r="A464" s="2">
        <v>3</v>
      </c>
      <c r="B464" s="2" t="s">
        <v>42</v>
      </c>
      <c r="C464" s="2">
        <v>100</v>
      </c>
      <c r="D464" s="11">
        <v>1791327984.2899644</v>
      </c>
      <c r="E464" s="7">
        <f>D464-D365</f>
        <v>108.943755865097</v>
      </c>
      <c r="F464" s="9">
        <v>2290</v>
      </c>
      <c r="G464" s="5">
        <f>(F464-F463)/$G$2/(D464-D463)*100</f>
        <v>21.2551093656979</v>
      </c>
    </row>
    <row r="465" spans="1:7" x14ac:dyDescent="0.25">
      <c r="A465" s="2">
        <v>3</v>
      </c>
      <c r="B465" s="2" t="s">
        <v>42</v>
      </c>
      <c r="C465" s="2">
        <v>101</v>
      </c>
      <c r="D465" s="11">
        <v>1791327985.3591795</v>
      </c>
      <c r="E465" s="7">
        <f>D465-D365</f>
        <v>110.012970924377</v>
      </c>
      <c r="F465" s="9">
        <v>2300</v>
      </c>
      <c r="G465" s="5">
        <f>(F465-F464)/$G$2/(D465-D464)*100</f>
        <v>9.35265540192654</v>
      </c>
    </row>
    <row r="466" spans="1:7" x14ac:dyDescent="0.25">
      <c r="A466" s="2">
        <v>3</v>
      </c>
      <c r="B466" s="2" t="s">
        <v>42</v>
      </c>
      <c r="C466" s="2">
        <v>102</v>
      </c>
      <c r="D466" s="11">
        <v>1791327986.4615178</v>
      </c>
      <c r="E466" s="7">
        <f>D466-D365</f>
        <v>111.115309238434</v>
      </c>
      <c r="F466" s="9">
        <v>2311</v>
      </c>
      <c r="G466" s="5">
        <f>(F466-F465)/$G$2/(D466-D465)*100</f>
        <v>9.9787876913414</v>
      </c>
    </row>
    <row r="467" spans="1:7" x14ac:dyDescent="0.25">
      <c r="A467" s="2">
        <v>3</v>
      </c>
      <c r="B467" s="2" t="s">
        <v>42</v>
      </c>
      <c r="C467" s="2">
        <v>103</v>
      </c>
      <c r="D467" s="11">
        <v>1791327987.570153</v>
      </c>
      <c r="E467" s="7">
        <f>D467-D365</f>
        <v>112.223944425583</v>
      </c>
      <c r="F467" s="9">
        <v>2324</v>
      </c>
      <c r="G467" s="5">
        <f>(F467-F466)/$G$2/(D467-D466)*100</f>
        <v>11.7261297049669</v>
      </c>
    </row>
    <row r="468" spans="1:7" x14ac:dyDescent="0.25">
      <c r="A468" s="2">
        <v>3</v>
      </c>
      <c r="B468" s="2" t="s">
        <v>42</v>
      </c>
      <c r="C468" s="2">
        <v>104</v>
      </c>
      <c r="D468" s="11">
        <v>1791327988.6777627</v>
      </c>
      <c r="E468" s="7">
        <f>D468-D365</f>
        <v>113.331554174423</v>
      </c>
      <c r="F468" s="9">
        <v>2336</v>
      </c>
      <c r="G468" s="5">
        <f>(F468-F467)/$G$2/(D468-D467)*100</f>
        <v>10.8341408267343</v>
      </c>
    </row>
    <row r="469" spans="1:7" x14ac:dyDescent="0.25">
      <c r="A469" s="2">
        <v>3</v>
      </c>
      <c r="B469" s="2" t="s">
        <v>42</v>
      </c>
      <c r="C469" s="2">
        <v>105</v>
      </c>
      <c r="D469" s="11">
        <v>1791327989.7604938</v>
      </c>
      <c r="E469" s="7">
        <f>D469-D365</f>
        <v>114.414285182953</v>
      </c>
      <c r="F469" s="9">
        <v>2349</v>
      </c>
      <c r="G469" s="5">
        <f>(F469-F468)/$G$2/(D469-D468)*100</f>
        <v>12.0066756171081</v>
      </c>
    </row>
    <row r="470" spans="1:7" x14ac:dyDescent="0.25">
      <c r="A470" s="2">
        <v>3</v>
      </c>
      <c r="B470" s="2" t="s">
        <v>42</v>
      </c>
      <c r="C470" s="2">
        <v>106</v>
      </c>
      <c r="D470" s="11">
        <v>1791327990.8508174</v>
      </c>
      <c r="E470" s="7">
        <f>D470-D365</f>
        <v>115.504608869553</v>
      </c>
      <c r="F470" s="9">
        <v>2351</v>
      </c>
      <c r="G470" s="5">
        <f>(F470-F469)/$G$2/(D470-D469)*100</f>
        <v>1.83431766601088</v>
      </c>
    </row>
    <row r="471" spans="1:7" x14ac:dyDescent="0.25">
      <c r="A471" s="2">
        <v>3</v>
      </c>
      <c r="B471" s="2" t="s">
        <v>42</v>
      </c>
      <c r="C471" s="2">
        <v>107</v>
      </c>
      <c r="D471" s="11">
        <v>1791327991.9151168</v>
      </c>
      <c r="E471" s="7">
        <f>D471-D365</f>
        <v>116.568908214569</v>
      </c>
      <c r="F471" s="9">
        <v>2353</v>
      </c>
      <c r="G471" s="5">
        <f>(F471-F470)/$G$2/(D471-D470)*100</f>
        <v>1.8791705635871</v>
      </c>
    </row>
    <row r="472" spans="1:7" x14ac:dyDescent="0.25">
      <c r="A472" s="2">
        <v>3</v>
      </c>
      <c r="B472" s="2" t="s">
        <v>42</v>
      </c>
      <c r="C472" s="2">
        <v>108</v>
      </c>
      <c r="D472" s="11">
        <v>1791327992.9532714</v>
      </c>
      <c r="E472" s="7">
        <f>D472-D365</f>
        <v>117.60706281662</v>
      </c>
      <c r="F472" s="9">
        <v>2356</v>
      </c>
      <c r="G472" s="5">
        <f>(F472-F471)/$G$2/(D472-D471)*100</f>
        <v>2.88974300559259</v>
      </c>
    </row>
    <row r="473" spans="1:7" x14ac:dyDescent="0.25">
      <c r="A473" s="2">
        <v>3</v>
      </c>
      <c r="B473" s="2" t="s">
        <v>42</v>
      </c>
      <c r="C473" s="2">
        <v>109</v>
      </c>
      <c r="D473" s="11">
        <v>1791327994.0134776</v>
      </c>
      <c r="E473" s="7">
        <f>D473-D365</f>
        <v>118.66726899147</v>
      </c>
      <c r="F473" s="9">
        <v>2361</v>
      </c>
      <c r="G473" s="5">
        <f>(F473-F472)/$G$2/(D473-D472)*100</f>
        <v>4.71606383607907</v>
      </c>
    </row>
    <row r="474" spans="1:7" x14ac:dyDescent="0.25">
      <c r="A474" s="2">
        <v>3</v>
      </c>
      <c r="B474" s="2" t="s">
        <v>42</v>
      </c>
      <c r="C474" s="2">
        <v>110</v>
      </c>
      <c r="D474" s="11">
        <v>1791327995.0913856</v>
      </c>
      <c r="E474" s="7">
        <f>D474-D365</f>
        <v>119.745177030563</v>
      </c>
      <c r="F474" s="9">
        <v>2371</v>
      </c>
      <c r="G474" s="5">
        <f>(F474-F473)/$G$2/(D474-D473)*100</f>
        <v>9.27722926012713</v>
      </c>
    </row>
    <row r="475" spans="1:7" x14ac:dyDescent="0.25">
      <c r="A475" s="2">
        <v>3</v>
      </c>
      <c r="B475" s="2" t="s">
        <v>42</v>
      </c>
      <c r="C475" s="2">
        <v>111</v>
      </c>
      <c r="D475" s="11">
        <v>1791327996.1919174</v>
      </c>
      <c r="E475" s="7">
        <f>D475-D365</f>
        <v>120.845708847046</v>
      </c>
      <c r="F475" s="9">
        <v>2390</v>
      </c>
      <c r="G475" s="5">
        <f>(F475-F474)/$G$2/(D475-D474)*100</f>
        <v>17.2643804708225</v>
      </c>
    </row>
    <row r="476" spans="1:7" x14ac:dyDescent="0.25">
      <c r="A476" s="2">
        <v>3</v>
      </c>
      <c r="B476" s="2" t="s">
        <v>42</v>
      </c>
      <c r="C476" s="2">
        <v>112</v>
      </c>
      <c r="D476" s="11">
        <v>1791327997.2687643</v>
      </c>
      <c r="E476" s="7">
        <f>D476-D365</f>
        <v>121.922555685043</v>
      </c>
      <c r="F476" s="9">
        <v>2399</v>
      </c>
      <c r="G476" s="5">
        <f>(F476-F475)/$G$2/(D476-D475)*100</f>
        <v>8.35773452865116</v>
      </c>
    </row>
    <row r="477" spans="1:7" x14ac:dyDescent="0.25">
      <c r="A477" s="2">
        <v>3</v>
      </c>
      <c r="B477" s="2" t="s">
        <v>42</v>
      </c>
      <c r="C477" s="2">
        <v>113</v>
      </c>
      <c r="D477" s="11">
        <v>1791327998.3362124</v>
      </c>
      <c r="E477" s="7">
        <f>D477-D365</f>
        <v>122.990003824234</v>
      </c>
      <c r="F477" s="9">
        <v>2408</v>
      </c>
      <c r="G477" s="5">
        <f>(F477-F476)/$G$2/(D477-D476)*100</f>
        <v>8.43132295572101</v>
      </c>
    </row>
    <row r="478" spans="1:7" x14ac:dyDescent="0.25">
      <c r="A478" s="2">
        <v>3</v>
      </c>
      <c r="B478" s="2" t="s">
        <v>42</v>
      </c>
      <c r="C478" s="2">
        <v>114</v>
      </c>
      <c r="D478" s="11">
        <v>1791327999.419219</v>
      </c>
      <c r="E478" s="7">
        <f>D478-D365</f>
        <v>124.073010444641</v>
      </c>
      <c r="F478" s="9">
        <v>2420</v>
      </c>
      <c r="G478" s="5">
        <f>(F478-F477)/$G$2/(D478-D477)*100</f>
        <v>11.0802646760268</v>
      </c>
    </row>
    <row r="479" spans="1:7" x14ac:dyDescent="0.25">
      <c r="A479" s="2">
        <v>3</v>
      </c>
      <c r="B479" s="2" t="s">
        <v>42</v>
      </c>
      <c r="C479" s="2">
        <v>115</v>
      </c>
      <c r="D479" s="11">
        <v>1791328000.5072474</v>
      </c>
      <c r="E479" s="7">
        <f>D479-D365</f>
        <v>125.16103887558</v>
      </c>
      <c r="F479" s="9">
        <v>2431</v>
      </c>
      <c r="G479" s="5">
        <f>(F479-F478)/$G$2/(D479-D478)*100</f>
        <v>10.1100299286385</v>
      </c>
    </row>
    <row r="480" spans="1:7" x14ac:dyDescent="0.25">
      <c r="A480" s="2">
        <v>3</v>
      </c>
      <c r="B480" s="2" t="s">
        <v>42</v>
      </c>
      <c r="C480" s="2">
        <v>116</v>
      </c>
      <c r="D480" s="11">
        <v>1791328001.5652914</v>
      </c>
      <c r="E480" s="7">
        <f>D480-D365</f>
        <v>126.219082832336</v>
      </c>
      <c r="F480" s="9">
        <v>2438</v>
      </c>
      <c r="G480" s="5">
        <f>(F480-F479)/$G$2/(D480-D479)*100</f>
        <v>6.61598221444252</v>
      </c>
    </row>
    <row r="481" spans="1:7" x14ac:dyDescent="0.25">
      <c r="A481" s="2">
        <v>3</v>
      </c>
      <c r="B481" s="2" t="s">
        <v>42</v>
      </c>
      <c r="C481" s="2">
        <v>117</v>
      </c>
      <c r="D481" s="11">
        <v>1791328002.6652665</v>
      </c>
      <c r="E481" s="7">
        <f>D481-D365</f>
        <v>127.319057941437</v>
      </c>
      <c r="F481" s="9">
        <v>2447</v>
      </c>
      <c r="G481" s="5">
        <f>(F481-F480)/$G$2/(D481-D480)*100</f>
        <v>8.18200332493069</v>
      </c>
    </row>
    <row r="482" spans="1:7" x14ac:dyDescent="0.25">
      <c r="A482" s="2">
        <v>3</v>
      </c>
      <c r="B482" s="2" t="s">
        <v>42</v>
      </c>
      <c r="C482" s="2">
        <v>118</v>
      </c>
      <c r="D482" s="11">
        <v>1791328003.7647178</v>
      </c>
      <c r="E482" s="7">
        <f>D482-D365</f>
        <v>128.418509244919</v>
      </c>
      <c r="F482" s="9">
        <v>2460</v>
      </c>
      <c r="G482" s="5">
        <f>(F482-F481)/$G$2/(D482-D481)*100</f>
        <v>11.8240798467635</v>
      </c>
    </row>
    <row r="483" spans="1:7" x14ac:dyDescent="0.25">
      <c r="A483" s="2">
        <v>3</v>
      </c>
      <c r="B483" s="2" t="s">
        <v>42</v>
      </c>
      <c r="C483" s="2">
        <v>119</v>
      </c>
      <c r="D483" s="11">
        <v>1791328004.868292</v>
      </c>
      <c r="E483" s="7">
        <f>D483-D365</f>
        <v>129.522083520889</v>
      </c>
      <c r="F483" s="9">
        <v>2472</v>
      </c>
      <c r="G483" s="5">
        <f>(F483-F482)/$G$2/(D483-D482)*100</f>
        <v>10.8737583516501</v>
      </c>
    </row>
    <row r="484" spans="1:7" x14ac:dyDescent="0.25">
      <c r="A484" s="2">
        <v>3</v>
      </c>
      <c r="B484" s="2" t="s">
        <v>42</v>
      </c>
      <c r="C484" s="2">
        <v>120</v>
      </c>
      <c r="D484" s="11">
        <v>1791328005.9763703</v>
      </c>
      <c r="E484" s="7">
        <f>D484-D365</f>
        <v>130.630161762238</v>
      </c>
      <c r="F484" s="9">
        <v>2485</v>
      </c>
      <c r="G484" s="5">
        <f>(F484-F483)/$G$2/(D484-D483)*100</f>
        <v>11.7320235294776</v>
      </c>
    </row>
    <row r="485" spans="1:7" x14ac:dyDescent="0.25">
      <c r="A485" s="2">
        <v>3</v>
      </c>
      <c r="B485" s="2" t="s">
        <v>42</v>
      </c>
      <c r="C485" s="2">
        <v>121</v>
      </c>
      <c r="D485" s="11">
        <v>1791328007.1104505</v>
      </c>
      <c r="E485" s="7">
        <f>D485-D365</f>
        <v>131.764241933823</v>
      </c>
      <c r="F485" s="9">
        <v>2499</v>
      </c>
      <c r="G485" s="5">
        <f>(F485-F484)/$G$2/(D485-D484)*100</f>
        <v>12.3448062586549</v>
      </c>
    </row>
    <row r="486" spans="1:7" x14ac:dyDescent="0.25">
      <c r="A486" s="2">
        <v>3</v>
      </c>
      <c r="B486" s="2" t="s">
        <v>42</v>
      </c>
      <c r="C486" s="2">
        <v>122</v>
      </c>
      <c r="D486" s="11">
        <v>1791328008.209439</v>
      </c>
      <c r="E486" s="7">
        <f>D486-D365</f>
        <v>132.863230466843</v>
      </c>
      <c r="F486" s="9">
        <v>2527</v>
      </c>
      <c r="G486" s="5">
        <f>(F486-F485)/$G$2/(D486-D485)*100</f>
        <v>25.4779728438622</v>
      </c>
    </row>
    <row r="487" spans="1:7" x14ac:dyDescent="0.25">
      <c r="A487" s="2">
        <v>3</v>
      </c>
      <c r="B487" s="2" t="s">
        <v>42</v>
      </c>
      <c r="C487" s="2">
        <v>123</v>
      </c>
      <c r="D487" s="11">
        <v>1791328009.3112547</v>
      </c>
      <c r="E487" s="7">
        <f>D487-D365</f>
        <v>133.965046167374</v>
      </c>
      <c r="F487" s="9">
        <v>2539</v>
      </c>
      <c r="G487" s="5">
        <f>(F487-F486)/$G$2/(D487-D486)*100</f>
        <v>10.891113635626</v>
      </c>
    </row>
    <row r="488" spans="1:7" x14ac:dyDescent="0.25">
      <c r="A488" s="2">
        <v>3</v>
      </c>
      <c r="B488" s="2" t="s">
        <v>42</v>
      </c>
      <c r="C488" s="2">
        <v>124</v>
      </c>
      <c r="D488" s="11">
        <v>1791328010.4192894</v>
      </c>
      <c r="E488" s="7">
        <f>D488-D365</f>
        <v>135.073080778122</v>
      </c>
      <c r="F488" s="9">
        <v>2552</v>
      </c>
      <c r="G488" s="5">
        <f>(F488-F487)/$G$2/(D488-D487)*100</f>
        <v>11.7324854962975</v>
      </c>
    </row>
    <row r="489" spans="1:7" x14ac:dyDescent="0.25">
      <c r="A489" s="2">
        <v>3</v>
      </c>
      <c r="B489" s="2" t="s">
        <v>42</v>
      </c>
      <c r="C489" s="2">
        <v>125</v>
      </c>
      <c r="D489" s="11">
        <v>1791328011.5246003</v>
      </c>
      <c r="E489" s="7">
        <f>D489-D365</f>
        <v>136.178391695023</v>
      </c>
      <c r="F489" s="9">
        <v>2564</v>
      </c>
      <c r="G489" s="5">
        <f>(F489-F488)/$G$2/(D489-D488)*100</f>
        <v>10.856673734526</v>
      </c>
    </row>
    <row r="490" spans="1:7" x14ac:dyDescent="0.25">
      <c r="A490" s="2">
        <v>3</v>
      </c>
      <c r="B490" s="2" t="s">
        <v>42</v>
      </c>
      <c r="C490" s="2">
        <v>126</v>
      </c>
      <c r="D490" s="11">
        <v>1791328012.6320994</v>
      </c>
      <c r="E490" s="7">
        <f>D490-D365</f>
        <v>137.285890817642</v>
      </c>
      <c r="F490" s="9">
        <v>2577</v>
      </c>
      <c r="G490" s="5">
        <f>(F490-F489)/$G$2/(D490-D489)*100</f>
        <v>11.7381582833676</v>
      </c>
    </row>
    <row r="491" spans="1:7" x14ac:dyDescent="0.25">
      <c r="A491" s="2">
        <v>3</v>
      </c>
      <c r="B491" s="2" t="s">
        <v>42</v>
      </c>
      <c r="C491" s="2">
        <v>127</v>
      </c>
      <c r="D491" s="11">
        <v>1791328013.7399714</v>
      </c>
      <c r="E491" s="7">
        <f>D491-D365</f>
        <v>138.39376282692</v>
      </c>
      <c r="F491" s="9">
        <v>2589</v>
      </c>
      <c r="G491" s="5">
        <f>(F491-F490)/$G$2/(D491-D490)*100</f>
        <v>10.8315761202664</v>
      </c>
    </row>
    <row r="492" spans="1:7" x14ac:dyDescent="0.25">
      <c r="A492" s="2">
        <v>3</v>
      </c>
      <c r="B492" s="2" t="s">
        <v>42</v>
      </c>
      <c r="C492" s="2">
        <v>128</v>
      </c>
      <c r="D492" s="11">
        <v>1791328014.8327084</v>
      </c>
      <c r="E492" s="7">
        <f>D492-D365</f>
        <v>139.486499786377</v>
      </c>
      <c r="F492" s="9">
        <v>2601</v>
      </c>
      <c r="G492" s="5">
        <f>(F492-F491)/$G$2/(D492-D491)*100</f>
        <v>10.9815998224849</v>
      </c>
    </row>
    <row r="493" spans="1:7" x14ac:dyDescent="0.25">
      <c r="A493" s="2">
        <v>3</v>
      </c>
      <c r="B493" s="2" t="s">
        <v>42</v>
      </c>
      <c r="C493" s="2">
        <v>129</v>
      </c>
      <c r="D493" s="11">
        <v>1791328015.9309082</v>
      </c>
      <c r="E493" s="7">
        <f>D493-D365</f>
        <v>140.584699630737</v>
      </c>
      <c r="F493" s="9">
        <v>2613</v>
      </c>
      <c r="G493" s="5">
        <f>(F493-F492)/$G$2/(D493-D492)*100</f>
        <v>10.9269729563561</v>
      </c>
    </row>
    <row r="494" spans="1:7" x14ac:dyDescent="0.25">
      <c r="A494" s="2">
        <v>3</v>
      </c>
      <c r="B494" s="2" t="s">
        <v>42</v>
      </c>
      <c r="C494" s="2">
        <v>130</v>
      </c>
      <c r="D494" s="11">
        <v>1791328017.0372756</v>
      </c>
      <c r="E494" s="7">
        <f>D494-D365</f>
        <v>141.691066980362</v>
      </c>
      <c r="F494" s="9">
        <v>2626</v>
      </c>
      <c r="G494" s="5">
        <f>(F494-F493)/$G$2/(D494-D493)*100</f>
        <v>11.7501659863793</v>
      </c>
    </row>
    <row r="495" spans="1:7" x14ac:dyDescent="0.25">
      <c r="A495" s="2">
        <v>3</v>
      </c>
      <c r="B495" s="2" t="s">
        <v>42</v>
      </c>
      <c r="C495" s="2">
        <v>131</v>
      </c>
      <c r="D495" s="11">
        <v>1791328018.160385</v>
      </c>
      <c r="E495" s="7">
        <f>D495-D365</f>
        <v>142.81417632103</v>
      </c>
      <c r="F495" s="9">
        <v>2639</v>
      </c>
      <c r="G495" s="5">
        <f>(F495-F494)/$G$2/(D495-D494)*100</f>
        <v>11.5750083533907</v>
      </c>
    </row>
    <row r="496" spans="1:7" x14ac:dyDescent="0.25">
      <c r="A496" s="2">
        <v>3</v>
      </c>
      <c r="B496" s="2" t="s">
        <v>42</v>
      </c>
      <c r="C496" s="2">
        <v>132</v>
      </c>
      <c r="D496" s="11">
        <v>1791328019.2409236</v>
      </c>
      <c r="E496" s="7">
        <f>D496-D365</f>
        <v>143.894715070725</v>
      </c>
      <c r="F496" s="9">
        <v>2656</v>
      </c>
      <c r="G496" s="5">
        <f>(F496-F495)/$G$2/(D496-D495)*100</f>
        <v>15.7328925082986</v>
      </c>
    </row>
    <row r="497" spans="1:7" x14ac:dyDescent="0.25">
      <c r="A497" s="2">
        <v>3</v>
      </c>
      <c r="B497" s="2" t="s">
        <v>42</v>
      </c>
      <c r="C497" s="2">
        <v>133</v>
      </c>
      <c r="D497" s="11">
        <v>1791328020.3434026</v>
      </c>
      <c r="E497" s="7">
        <f>D497-D365</f>
        <v>144.997194051743</v>
      </c>
      <c r="F497" s="9">
        <v>2678</v>
      </c>
      <c r="G497" s="5">
        <f>(F497-F496)/$G$2/(D497-D496)*100</f>
        <v>19.9550289654361</v>
      </c>
    </row>
    <row r="498" spans="1:7" x14ac:dyDescent="0.25">
      <c r="A498" s="2">
        <v>3</v>
      </c>
      <c r="B498" s="2" t="s">
        <v>42</v>
      </c>
      <c r="C498" s="2">
        <v>134</v>
      </c>
      <c r="D498" s="11">
        <v>1791328021.451968</v>
      </c>
      <c r="E498" s="7">
        <f>D498-D365</f>
        <v>146.105759382248</v>
      </c>
      <c r="F498" s="9">
        <v>2690</v>
      </c>
      <c r="G498" s="5">
        <f>(F498-F497)/$G$2/(D498-D497)*100</f>
        <v>10.8248018134659</v>
      </c>
    </row>
    <row r="499" spans="1:7" x14ac:dyDescent="0.25">
      <c r="A499" s="2">
        <v>3</v>
      </c>
      <c r="B499" s="2" t="s">
        <v>42</v>
      </c>
      <c r="C499" s="2">
        <v>135</v>
      </c>
      <c r="D499" s="11">
        <v>1791328022.5494282</v>
      </c>
      <c r="E499" s="7">
        <f>D499-D365</f>
        <v>147.203219652176</v>
      </c>
      <c r="F499" s="9">
        <v>2701</v>
      </c>
      <c r="G499" s="5">
        <f>(F499-F498)/$G$2/(D499-D498)*100</f>
        <v>10.0231418862406</v>
      </c>
    </row>
    <row r="500" spans="1:7" x14ac:dyDescent="0.25">
      <c r="A500" s="2">
        <v>3</v>
      </c>
      <c r="B500" s="2" t="s">
        <v>42</v>
      </c>
      <c r="C500" s="2">
        <v>136</v>
      </c>
      <c r="D500" s="11">
        <v>1791328023.6176748</v>
      </c>
      <c r="E500" s="7">
        <f>D500-D365</f>
        <v>148.271466255188</v>
      </c>
      <c r="F500" s="9">
        <v>2714</v>
      </c>
      <c r="G500" s="5">
        <f>(F500-F499)/$G$2/(D500-D499)*100</f>
        <v>12.1694746918404</v>
      </c>
    </row>
    <row r="501" spans="1:7" x14ac:dyDescent="0.25">
      <c r="A501" s="2">
        <v>3</v>
      </c>
      <c r="B501" s="2" t="s">
        <v>42</v>
      </c>
      <c r="C501" s="2">
        <v>137</v>
      </c>
      <c r="D501" s="11">
        <v>1791328024.7260199</v>
      </c>
      <c r="E501" s="7">
        <f>D501-D365</f>
        <v>149.379811286926</v>
      </c>
      <c r="F501" s="9">
        <v>2722</v>
      </c>
      <c r="G501" s="5">
        <f>(F501-F500)/$G$2/(D501-D500)*100</f>
        <v>7.2179689274676</v>
      </c>
    </row>
    <row r="502" spans="1:7" x14ac:dyDescent="0.25">
      <c r="A502" s="2">
        <v>3</v>
      </c>
      <c r="B502" s="2" t="s">
        <v>42</v>
      </c>
      <c r="C502" s="2">
        <v>138</v>
      </c>
      <c r="D502" s="11">
        <v>1791328025.8269007</v>
      </c>
      <c r="E502" s="7">
        <f>D502-D365</f>
        <v>150.480692148209</v>
      </c>
      <c r="F502" s="9">
        <v>2735</v>
      </c>
      <c r="G502" s="5">
        <f>(F502-F501)/$G$2/(D502-D501)*100</f>
        <v>11.8087255916658</v>
      </c>
    </row>
    <row r="503" spans="1:7" x14ac:dyDescent="0.25">
      <c r="A503" s="2">
        <v>3</v>
      </c>
      <c r="B503" s="2" t="s">
        <v>42</v>
      </c>
      <c r="C503" s="2">
        <v>139</v>
      </c>
      <c r="D503" s="11">
        <v>1791328026.9330254</v>
      </c>
      <c r="E503" s="7">
        <f>D503-D365</f>
        <v>151.58681678772</v>
      </c>
      <c r="F503" s="9">
        <v>2749</v>
      </c>
      <c r="G503" s="5">
        <f>(F503-F502)/$G$2/(D503-D502)*100</f>
        <v>12.656801503118</v>
      </c>
    </row>
    <row r="504" spans="1:7" x14ac:dyDescent="0.25">
      <c r="A504" s="2">
        <v>3</v>
      </c>
      <c r="B504" s="2" t="s">
        <v>42</v>
      </c>
      <c r="C504" s="2">
        <v>140</v>
      </c>
      <c r="D504" s="11">
        <v>1791328028.0378227</v>
      </c>
      <c r="E504" s="7">
        <f>D504-D365</f>
        <v>152.691614151001</v>
      </c>
      <c r="F504" s="9">
        <v>2760</v>
      </c>
      <c r="G504" s="5">
        <f>(F504-F503)/$G$2/(D504-D503)*100</f>
        <v>9.95657698469698</v>
      </c>
    </row>
    <row r="505" spans="1:7" x14ac:dyDescent="0.25">
      <c r="A505" s="2">
        <v>3</v>
      </c>
      <c r="B505" s="2" t="s">
        <v>42</v>
      </c>
      <c r="C505" s="2">
        <v>141</v>
      </c>
      <c r="D505" s="11">
        <v>1791328029.1552095</v>
      </c>
      <c r="E505" s="7">
        <f>D505-D365</f>
        <v>153.809000968933</v>
      </c>
      <c r="F505" s="9">
        <v>2773</v>
      </c>
      <c r="G505" s="5">
        <f>(F505-F504)/$G$2/(D505-D504)*100</f>
        <v>11.6342879577354</v>
      </c>
    </row>
    <row r="506" spans="1:7" x14ac:dyDescent="0.25">
      <c r="A506" s="2">
        <v>3</v>
      </c>
      <c r="B506" s="2" t="s">
        <v>42</v>
      </c>
      <c r="C506" s="2">
        <v>142</v>
      </c>
      <c r="D506" s="11">
        <v>1791328030.2594125</v>
      </c>
      <c r="E506" s="7">
        <f>D506-D365</f>
        <v>154.913203954697</v>
      </c>
      <c r="F506" s="9">
        <v>2784</v>
      </c>
      <c r="G506" s="5">
        <f>(F506-F505)/$G$2/(D506-D505)*100</f>
        <v>9.96193647528816</v>
      </c>
    </row>
    <row r="507" spans="1:7" x14ac:dyDescent="0.25">
      <c r="A507" s="2">
        <v>3</v>
      </c>
      <c r="B507" s="2" t="s">
        <v>42</v>
      </c>
      <c r="C507" s="2">
        <v>143</v>
      </c>
      <c r="D507" s="11">
        <v>1791328031.324172</v>
      </c>
      <c r="E507" s="7">
        <f>D507-D365</f>
        <v>155.977963447571</v>
      </c>
      <c r="F507" s="9">
        <v>2802</v>
      </c>
      <c r="G507" s="5">
        <f>(F507-F506)/$G$2/(D507-D506)*100</f>
        <v>16.9052261289654</v>
      </c>
    </row>
    <row r="508" spans="1:7" x14ac:dyDescent="0.25">
      <c r="A508" s="2">
        <v>3</v>
      </c>
      <c r="B508" s="2" t="s">
        <v>42</v>
      </c>
      <c r="C508" s="2">
        <v>144</v>
      </c>
      <c r="D508" s="11">
        <v>1791328032.3806808</v>
      </c>
      <c r="E508" s="7">
        <f>D508-D365</f>
        <v>157.034472227097</v>
      </c>
      <c r="F508" s="9">
        <v>2820</v>
      </c>
      <c r="G508" s="5">
        <f>(F508-F507)/$G$2/(D508-D507)*100</f>
        <v>17.03724602088</v>
      </c>
    </row>
    <row r="509" spans="1:7" x14ac:dyDescent="0.25">
      <c r="A509" s="2">
        <v>3</v>
      </c>
      <c r="B509" s="2" t="s">
        <v>42</v>
      </c>
      <c r="C509" s="2">
        <v>145</v>
      </c>
      <c r="D509" s="11">
        <v>1791328033.4905782</v>
      </c>
      <c r="E509" s="7">
        <f>D509-D365</f>
        <v>158.144369602203</v>
      </c>
      <c r="F509" s="9">
        <v>2832</v>
      </c>
      <c r="G509" s="5">
        <f>(F509-F508)/$G$2/(D509-D508)*100</f>
        <v>10.8118104152153</v>
      </c>
    </row>
    <row r="510" spans="1:7" x14ac:dyDescent="0.25">
      <c r="A510" s="2">
        <v>3</v>
      </c>
      <c r="B510" s="2" t="s">
        <v>42</v>
      </c>
      <c r="C510" s="2">
        <v>146</v>
      </c>
      <c r="D510" s="11">
        <v>1791328034.5996842</v>
      </c>
      <c r="E510" s="7">
        <f>D510-D365</f>
        <v>159.253475666046</v>
      </c>
      <c r="F510" s="9">
        <v>2844</v>
      </c>
      <c r="G510" s="5">
        <f>(F510-F509)/$G$2/(D510-D509)*100</f>
        <v>10.8195242918635</v>
      </c>
    </row>
    <row r="511" spans="1:7" x14ac:dyDescent="0.25">
      <c r="A511" s="2">
        <v>3</v>
      </c>
      <c r="B511" s="2" t="s">
        <v>42</v>
      </c>
      <c r="C511" s="2">
        <v>147</v>
      </c>
      <c r="D511" s="11">
        <v>1791328035.6812859</v>
      </c>
      <c r="E511" s="7">
        <f>D511-D365</f>
        <v>160.335077285767</v>
      </c>
      <c r="F511" s="9">
        <v>2856</v>
      </c>
      <c r="G511" s="5">
        <f>(F511-F510)/$G$2/(D511-D510)*100</f>
        <v>11.0946579417119</v>
      </c>
    </row>
    <row r="512" spans="1:7" x14ac:dyDescent="0.25">
      <c r="A512" s="2">
        <v>3</v>
      </c>
      <c r="B512" s="2" t="s">
        <v>42</v>
      </c>
      <c r="C512" s="2">
        <v>148</v>
      </c>
      <c r="D512" s="11">
        <v>1791328036.7642179</v>
      </c>
      <c r="E512" s="7">
        <f>D512-D365</f>
        <v>161.418009281158</v>
      </c>
      <c r="F512" s="9">
        <v>2869</v>
      </c>
      <c r="G512" s="5">
        <f>(F512-F511)/$G$2/(D512-D511)*100</f>
        <v>12.0044472370549</v>
      </c>
    </row>
    <row r="513" spans="1:7" x14ac:dyDescent="0.25">
      <c r="A513" s="2">
        <v>3</v>
      </c>
      <c r="B513" s="2" t="s">
        <v>42</v>
      </c>
      <c r="C513" s="2">
        <v>149</v>
      </c>
      <c r="D513" s="11">
        <v>1791328037.8726635</v>
      </c>
      <c r="E513" s="7">
        <f>D513-D365</f>
        <v>162.526454925537</v>
      </c>
      <c r="F513" s="9">
        <v>2881</v>
      </c>
      <c r="G513" s="5">
        <f>(F513-F512)/$G$2/(D513-D512)*100</f>
        <v>10.8259706381242</v>
      </c>
    </row>
    <row r="514" spans="1:7" x14ac:dyDescent="0.25">
      <c r="A514" s="2">
        <v>3</v>
      </c>
      <c r="B514" s="2" t="s">
        <v>42</v>
      </c>
      <c r="C514" s="2">
        <v>150</v>
      </c>
      <c r="D514" s="11">
        <v>1791328038.9732857</v>
      </c>
      <c r="E514" s="7">
        <f>D514-D365</f>
        <v>163.627077102661</v>
      </c>
      <c r="F514" s="9">
        <v>2894</v>
      </c>
      <c r="G514" s="5">
        <f>(F514-F513)/$G$2/(D514-D513)*100</f>
        <v>11.8115010493152</v>
      </c>
    </row>
    <row r="515" spans="1:7" x14ac:dyDescent="0.25">
      <c r="A515" s="2">
        <v>3</v>
      </c>
      <c r="B515" s="2" t="s">
        <v>42</v>
      </c>
      <c r="C515" s="2">
        <v>151</v>
      </c>
      <c r="D515" s="11">
        <v>1791328040.0969737</v>
      </c>
      <c r="E515" s="7">
        <f>D515-D365</f>
        <v>164.75076508522</v>
      </c>
      <c r="F515" s="9">
        <v>2905</v>
      </c>
      <c r="G515" s="5">
        <f>(F515-F514)/$G$2/(D515-D514)*100</f>
        <v>9.78919430547567</v>
      </c>
    </row>
    <row r="516" spans="1:7" x14ac:dyDescent="0.25">
      <c r="A516" s="2">
        <v>3</v>
      </c>
      <c r="B516" s="2" t="s">
        <v>42</v>
      </c>
      <c r="C516" s="2">
        <v>152</v>
      </c>
      <c r="D516" s="11">
        <v>1791328041.2011337</v>
      </c>
      <c r="E516" s="7">
        <f>D516-D365</f>
        <v>165.85492515564</v>
      </c>
      <c r="F516" s="9">
        <v>2918</v>
      </c>
      <c r="G516" s="5">
        <f>(F516-F515)/$G$2/(D516-D515)*100</f>
        <v>11.7736552410043</v>
      </c>
    </row>
    <row r="517" spans="1:7" x14ac:dyDescent="0.25">
      <c r="A517" s="2">
        <v>3</v>
      </c>
      <c r="B517" s="2" t="s">
        <v>42</v>
      </c>
      <c r="C517" s="2">
        <v>153</v>
      </c>
      <c r="D517" s="11">
        <v>1791328042.3003764</v>
      </c>
      <c r="E517" s="7">
        <f>D517-D365</f>
        <v>166.954167842865</v>
      </c>
      <c r="F517" s="9">
        <v>2930</v>
      </c>
      <c r="G517" s="5">
        <f>(F517-F516)/$G$2/(D517-D516)*100</f>
        <v>10.9166066233198</v>
      </c>
    </row>
    <row r="518" spans="1:7" x14ac:dyDescent="0.25">
      <c r="A518" s="2">
        <v>3</v>
      </c>
      <c r="B518" s="2" t="s">
        <v>42</v>
      </c>
      <c r="C518" s="2">
        <v>154</v>
      </c>
      <c r="D518" s="11">
        <v>1791328043.3947659</v>
      </c>
      <c r="E518" s="7">
        <f>D518-D365</f>
        <v>168.048557281494</v>
      </c>
      <c r="F518" s="9">
        <v>2957</v>
      </c>
      <c r="G518" s="5">
        <f>(F518-F517)/$G$2/(D518-D517)*100</f>
        <v>24.6712907187963</v>
      </c>
    </row>
    <row r="519" spans="1:7" x14ac:dyDescent="0.25">
      <c r="A519" s="2">
        <v>3</v>
      </c>
      <c r="B519" s="2" t="s">
        <v>42</v>
      </c>
      <c r="C519" s="2">
        <v>155</v>
      </c>
      <c r="D519" s="11">
        <v>1791328044.475425</v>
      </c>
      <c r="E519" s="7">
        <f>D519-D365</f>
        <v>169.129216432571</v>
      </c>
      <c r="F519" s="9">
        <v>2978</v>
      </c>
      <c r="G519" s="5">
        <f>(F519-F518)/$G$2/(D519-D518)*100</f>
        <v>19.4325842510711</v>
      </c>
    </row>
    <row r="520" spans="1:7" x14ac:dyDescent="0.25">
      <c r="A520" s="2">
        <v>3</v>
      </c>
      <c r="B520" s="2" t="s">
        <v>42</v>
      </c>
      <c r="C520" s="2">
        <v>156</v>
      </c>
      <c r="D520" s="11">
        <v>1791328045.556007</v>
      </c>
      <c r="E520" s="7">
        <f>D520-D365</f>
        <v>170.209798336029</v>
      </c>
      <c r="F520" s="9">
        <v>2991</v>
      </c>
      <c r="G520" s="5">
        <f>(F520-F519)/$G$2/(D520-D519)*100</f>
        <v>12.0305549800553</v>
      </c>
    </row>
    <row r="521" spans="1:7" x14ac:dyDescent="0.25">
      <c r="A521" s="2">
        <v>3</v>
      </c>
      <c r="B521" s="2" t="s">
        <v>42</v>
      </c>
      <c r="C521" s="2">
        <v>157</v>
      </c>
      <c r="D521" s="11">
        <v>1791328046.6630101</v>
      </c>
      <c r="E521" s="7">
        <f>D521-D365</f>
        <v>171.316801548004</v>
      </c>
      <c r="F521" s="9">
        <v>3003</v>
      </c>
      <c r="G521" s="5">
        <f>(F521-F520)/$G$2/(D521-D520)*100</f>
        <v>10.8400769484578</v>
      </c>
    </row>
    <row r="522" spans="1:7" x14ac:dyDescent="0.25">
      <c r="A522" s="2">
        <v>3</v>
      </c>
      <c r="B522" s="2" t="s">
        <v>42</v>
      </c>
      <c r="C522" s="2">
        <v>158</v>
      </c>
      <c r="D522" s="11">
        <v>1791328047.7716954</v>
      </c>
      <c r="E522" s="7">
        <f>D522-D365</f>
        <v>172.425486803055</v>
      </c>
      <c r="F522" s="9">
        <v>3015</v>
      </c>
      <c r="G522" s="5">
        <f>(F522-F521)/$G$2/(D522-D521)*100</f>
        <v>10.823630913583</v>
      </c>
    </row>
    <row r="523" spans="1:7" x14ac:dyDescent="0.25">
      <c r="A523" s="2">
        <v>3</v>
      </c>
      <c r="B523" s="2" t="s">
        <v>42</v>
      </c>
      <c r="C523" s="2">
        <v>159</v>
      </c>
      <c r="D523" s="11">
        <v>1791328048.8608646</v>
      </c>
      <c r="E523" s="7">
        <f>D523-D365</f>
        <v>173.514656066895</v>
      </c>
      <c r="F523" s="9">
        <v>3028</v>
      </c>
      <c r="G523" s="5">
        <f>(F523-F522)/$G$2/(D523-D522)*100</f>
        <v>11.9357022196626</v>
      </c>
    </row>
    <row r="524" spans="1:7" x14ac:dyDescent="0.25">
      <c r="A524" s="2">
        <v>3</v>
      </c>
      <c r="B524" s="2" t="s">
        <v>42</v>
      </c>
      <c r="C524" s="2">
        <v>160</v>
      </c>
      <c r="D524" s="11">
        <v>1791328049.9510453</v>
      </c>
      <c r="E524" s="7">
        <f>D524-D365</f>
        <v>174.604836702347</v>
      </c>
      <c r="F524" s="9">
        <v>3036</v>
      </c>
      <c r="G524" s="5">
        <f>(F524-F523)/$G$2/(D524-D523)*100</f>
        <v>7.33823344484663</v>
      </c>
    </row>
    <row r="525" spans="1:7" x14ac:dyDescent="0.25">
      <c r="A525" s="2">
        <v>3</v>
      </c>
      <c r="B525" s="2" t="s">
        <v>42</v>
      </c>
      <c r="C525" s="2">
        <v>161</v>
      </c>
      <c r="D525" s="11">
        <v>1791328051.0586677</v>
      </c>
      <c r="E525" s="7">
        <f>D525-D365</f>
        <v>175.712459087372</v>
      </c>
      <c r="F525" s="9">
        <v>3049</v>
      </c>
      <c r="G525" s="5">
        <f>(F525-F524)/$G$2/(D525-D524)*100</f>
        <v>11.7368519955529</v>
      </c>
    </row>
    <row r="526" spans="1:7" x14ac:dyDescent="0.25">
      <c r="A526" s="2">
        <v>3</v>
      </c>
      <c r="B526" s="2" t="s">
        <v>42</v>
      </c>
      <c r="C526" s="2">
        <v>162</v>
      </c>
      <c r="D526" s="11">
        <v>1791328052.1545315</v>
      </c>
      <c r="E526" s="7">
        <f>D526-D365</f>
        <v>176.808322906494</v>
      </c>
      <c r="F526" s="9">
        <v>3061</v>
      </c>
      <c r="G526" s="5">
        <f>(F526-F525)/$G$2/(D526-D525)*100</f>
        <v>10.9502657087547</v>
      </c>
    </row>
    <row r="527" spans="1:7" x14ac:dyDescent="0.25">
      <c r="A527" s="2">
        <v>3</v>
      </c>
      <c r="B527" s="2" t="s">
        <v>42</v>
      </c>
      <c r="C527" s="2">
        <v>163</v>
      </c>
      <c r="D527" s="11">
        <v>1791328053.2591765</v>
      </c>
      <c r="E527" s="7">
        <f>D527-D365</f>
        <v>177.912967920303</v>
      </c>
      <c r="F527" s="9">
        <v>3073</v>
      </c>
      <c r="G527" s="5">
        <f>(F527-F526)/$G$2/(D527-D526)*100</f>
        <v>10.8632183642596</v>
      </c>
    </row>
    <row r="528" spans="1:7" x14ac:dyDescent="0.25">
      <c r="A528" s="2">
        <v>3</v>
      </c>
      <c r="B528" s="2" t="s">
        <v>42</v>
      </c>
      <c r="C528" s="2">
        <v>164</v>
      </c>
      <c r="D528" s="11">
        <v>1791328054.3716373</v>
      </c>
      <c r="E528" s="7">
        <f>D528-D365</f>
        <v>179.025428771973</v>
      </c>
      <c r="F528" s="9">
        <v>3086</v>
      </c>
      <c r="G528" s="5">
        <f>(F528-F527)/$G$2/(D528-D527)*100</f>
        <v>11.685804476169</v>
      </c>
    </row>
    <row r="529" spans="1:7" x14ac:dyDescent="0.25">
      <c r="A529" s="2">
        <v>3</v>
      </c>
      <c r="B529" s="2" t="s">
        <v>42</v>
      </c>
      <c r="C529" s="2">
        <v>165</v>
      </c>
      <c r="D529" s="11">
        <v>1791328055.4548292</v>
      </c>
      <c r="E529" s="7">
        <f>D529-D365</f>
        <v>180.108620643616</v>
      </c>
      <c r="F529" s="9">
        <v>3114</v>
      </c>
      <c r="G529" s="5">
        <f>(F529-F528)/$G$2/(D529-D528)*100</f>
        <v>25.8495292782501</v>
      </c>
    </row>
    <row r="530" spans="1:7" x14ac:dyDescent="0.25">
      <c r="A530" s="2">
        <v>3</v>
      </c>
      <c r="B530" s="2" t="s">
        <v>42</v>
      </c>
      <c r="C530" s="2">
        <v>166</v>
      </c>
      <c r="D530" s="11">
        <v>1791328056.5551002</v>
      </c>
      <c r="E530" s="7">
        <f>D530-D365</f>
        <v>181.208891630173</v>
      </c>
      <c r="F530" s="9">
        <v>3133</v>
      </c>
      <c r="G530" s="5">
        <f>(F530-F529)/$G$2/(D530-D529)*100</f>
        <v>17.2684731599215</v>
      </c>
    </row>
    <row r="531" spans="1:7" x14ac:dyDescent="0.25">
      <c r="A531" s="2">
        <v>3</v>
      </c>
      <c r="B531" s="2" t="s">
        <v>42</v>
      </c>
      <c r="C531" s="2">
        <v>167</v>
      </c>
      <c r="D531" s="11">
        <v>1791328057.6624973</v>
      </c>
      <c r="E531" s="7">
        <f>D531-D365</f>
        <v>182.316288709641</v>
      </c>
      <c r="F531" s="9">
        <v>3146</v>
      </c>
      <c r="G531" s="5">
        <f>(F531-F530)/$G$2/(D531-D530)*100</f>
        <v>11.7392399176707</v>
      </c>
    </row>
    <row r="532" spans="1:7" x14ac:dyDescent="0.25">
      <c r="A532" s="2">
        <v>3</v>
      </c>
      <c r="B532" s="2" t="s">
        <v>42</v>
      </c>
      <c r="C532" s="2">
        <v>168</v>
      </c>
      <c r="D532" s="11">
        <v>1791328058.7675252</v>
      </c>
      <c r="E532" s="7">
        <f>D532-D365</f>
        <v>183.421316623688</v>
      </c>
      <c r="F532" s="9">
        <v>3158</v>
      </c>
      <c r="G532" s="5">
        <f>(F532-F531)/$G$2/(D532-D531)*100</f>
        <v>10.8594541798036</v>
      </c>
    </row>
    <row r="533" spans="1:7" x14ac:dyDescent="0.25">
      <c r="A533" s="2">
        <v>3</v>
      </c>
      <c r="B533" s="2" t="s">
        <v>42</v>
      </c>
      <c r="C533" s="2">
        <v>169</v>
      </c>
      <c r="D533" s="11">
        <v>1791328059.8657753</v>
      </c>
      <c r="E533" s="7">
        <f>D533-D365</f>
        <v>184.519566774368</v>
      </c>
      <c r="F533" s="9">
        <v>3170</v>
      </c>
      <c r="G533" s="5">
        <f>(F533-F532)/$G$2/(D533-D532)*100</f>
        <v>10.9264724366886</v>
      </c>
    </row>
    <row r="534" spans="1:7" x14ac:dyDescent="0.25">
      <c r="A534" s="2">
        <v>3</v>
      </c>
      <c r="B534" s="2" t="s">
        <v>42</v>
      </c>
      <c r="C534" s="2">
        <v>170</v>
      </c>
      <c r="D534" s="11">
        <v>1791328060.9471717</v>
      </c>
      <c r="E534" s="7">
        <f>D534-D365</f>
        <v>185.600963115692</v>
      </c>
      <c r="F534" s="9">
        <v>3182</v>
      </c>
      <c r="G534" s="5">
        <f>(F534-F533)/$G$2/(D534-D533)*100</f>
        <v>11.0967640091232</v>
      </c>
    </row>
    <row r="535" spans="1:7" x14ac:dyDescent="0.25">
      <c r="A535" s="2">
        <v>3</v>
      </c>
      <c r="B535" s="2" t="s">
        <v>42</v>
      </c>
      <c r="C535" s="2">
        <v>171</v>
      </c>
      <c r="D535" s="11">
        <v>1791328062.0234082</v>
      </c>
      <c r="E535" s="7">
        <f>D535-D365</f>
        <v>186.677199602127</v>
      </c>
      <c r="F535" s="9">
        <v>3193</v>
      </c>
      <c r="G535" s="5">
        <f>(F535-F534)/$G$2/(D535-D534)*100</f>
        <v>10.2208019693123</v>
      </c>
    </row>
    <row r="536" spans="1:7" x14ac:dyDescent="0.25">
      <c r="A536" s="2">
        <v>3</v>
      </c>
      <c r="B536" s="2" t="s">
        <v>42</v>
      </c>
      <c r="C536" s="2">
        <v>172</v>
      </c>
      <c r="D536" s="11">
        <v>1791328063.1089058</v>
      </c>
      <c r="E536" s="7">
        <f>D536-D365</f>
        <v>187.762697219849</v>
      </c>
      <c r="F536" s="9">
        <v>3206</v>
      </c>
      <c r="G536" s="5">
        <f>(F536-F535)/$G$2/(D536-D535)*100</f>
        <v>11.9760741873269</v>
      </c>
    </row>
    <row r="537" spans="1:7" x14ac:dyDescent="0.25">
      <c r="A537" s="2">
        <v>3</v>
      </c>
      <c r="B537" s="2" t="s">
        <v>42</v>
      </c>
      <c r="C537" s="2">
        <v>173</v>
      </c>
      <c r="D537" s="11">
        <v>1791328064.2213151</v>
      </c>
      <c r="E537" s="7">
        <f>D537-D365</f>
        <v>188.875106573105</v>
      </c>
      <c r="F537" s="9">
        <v>3219</v>
      </c>
      <c r="G537" s="5">
        <f>(F537-F536)/$G$2/(D537-D536)*100</f>
        <v>11.6863454644162</v>
      </c>
    </row>
    <row r="538" spans="1:7" x14ac:dyDescent="0.25">
      <c r="A538" s="2">
        <v>3</v>
      </c>
      <c r="B538" s="2" t="s">
        <v>42</v>
      </c>
      <c r="C538" s="2">
        <v>174</v>
      </c>
      <c r="D538" s="11">
        <v>1791328065.3241675</v>
      </c>
      <c r="E538" s="7">
        <f>D538-D365</f>
        <v>189.977958917618</v>
      </c>
      <c r="F538" s="9">
        <v>3231</v>
      </c>
      <c r="G538" s="5">
        <f>(F538-F537)/$G$2/(D538-D537)*100</f>
        <v>10.8808763563899</v>
      </c>
    </row>
    <row r="539" spans="1:7" x14ac:dyDescent="0.25">
      <c r="A539" s="2">
        <v>3</v>
      </c>
      <c r="B539" s="2" t="s">
        <v>42</v>
      </c>
      <c r="C539" s="2">
        <v>175</v>
      </c>
      <c r="D539" s="11">
        <v>1791328066.4309971</v>
      </c>
      <c r="E539" s="7">
        <f>D539-D365</f>
        <v>191.084788560867</v>
      </c>
      <c r="F539" s="9">
        <v>3244</v>
      </c>
      <c r="G539" s="5">
        <f>(F539-F538)/$G$2/(D539-D538)*100</f>
        <v>11.7452582511557</v>
      </c>
    </row>
    <row r="540" spans="1:7" x14ac:dyDescent="0.25">
      <c r="A540" s="2">
        <v>3</v>
      </c>
      <c r="B540" s="2" t="s">
        <v>42</v>
      </c>
      <c r="C540" s="2">
        <v>176</v>
      </c>
      <c r="D540" s="11">
        <v>1791328067.4956498</v>
      </c>
      <c r="E540" s="7">
        <f>D540-D365</f>
        <v>192.149441242218</v>
      </c>
      <c r="F540" s="9">
        <v>3270</v>
      </c>
      <c r="G540" s="5">
        <f>(F540-F539)/$G$2/(D540-D539)*100</f>
        <v>24.4211097716996</v>
      </c>
    </row>
    <row r="541" spans="1:7" x14ac:dyDescent="0.25">
      <c r="A541" s="2">
        <v>3</v>
      </c>
      <c r="B541" s="2" t="s">
        <v>42</v>
      </c>
      <c r="C541" s="2">
        <v>177</v>
      </c>
      <c r="D541" s="11">
        <v>1791328068.5990734</v>
      </c>
      <c r="E541" s="7">
        <f>D541-D365</f>
        <v>193.252864837647</v>
      </c>
      <c r="F541" s="9">
        <v>3292</v>
      </c>
      <c r="G541" s="5">
        <f>(F541-F540)/$G$2/(D541-D540)*100</f>
        <v>19.9379459449181</v>
      </c>
    </row>
    <row r="542" spans="1:7" x14ac:dyDescent="0.25">
      <c r="A542" s="2">
        <v>3</v>
      </c>
      <c r="B542" s="2" t="s">
        <v>42</v>
      </c>
      <c r="C542" s="2">
        <v>178</v>
      </c>
      <c r="D542" s="11">
        <v>1791328069.7092917</v>
      </c>
      <c r="E542" s="7">
        <f>D542-D365</f>
        <v>194.363083124161</v>
      </c>
      <c r="F542" s="9">
        <v>3305</v>
      </c>
      <c r="G542" s="5">
        <f>(F542-F541)/$G$2/(D542-D541)*100</f>
        <v>11.7094090035354</v>
      </c>
    </row>
    <row r="543" spans="1:7" x14ac:dyDescent="0.25">
      <c r="A543" s="2">
        <v>3</v>
      </c>
      <c r="B543" s="2" t="s">
        <v>42</v>
      </c>
      <c r="C543" s="2">
        <v>179</v>
      </c>
      <c r="D543" s="11">
        <v>1791328070.813536</v>
      </c>
      <c r="E543" s="7">
        <f>D543-D365</f>
        <v>195.467327356339</v>
      </c>
      <c r="F543" s="9">
        <v>3317</v>
      </c>
      <c r="G543" s="5">
        <f>(F543-F542)/$G$2/(D543-D542)*100</f>
        <v>10.8671611318578</v>
      </c>
    </row>
    <row r="544" spans="1:7" x14ac:dyDescent="0.25">
      <c r="A544" s="2">
        <v>3</v>
      </c>
      <c r="B544" s="2" t="s">
        <v>42</v>
      </c>
      <c r="C544" s="2">
        <v>180</v>
      </c>
      <c r="D544" s="11">
        <v>1791328071.913163</v>
      </c>
      <c r="E544" s="7">
        <f>D544-D365</f>
        <v>196.566954374313</v>
      </c>
      <c r="F544" s="9">
        <v>3329</v>
      </c>
      <c r="G544" s="5">
        <f>(F544-F543)/$G$2/(D544-D543)*100</f>
        <v>10.9127911590423</v>
      </c>
    </row>
    <row r="545" spans="1:6" x14ac:dyDescent="0.25">
      <c r="A545" s="2">
        <v>4</v>
      </c>
      <c r="B545" s="2" t="s">
        <v>45</v>
      </c>
      <c r="C545" s="2">
        <v>1</v>
      </c>
      <c r="D545" s="11">
        <v>1791328188.6662436</v>
      </c>
      <c r="E545" s="7">
        <f>D545-D545</f>
        <v>0</v>
      </c>
      <c r="F545" s="9">
        <v>982</v>
      </c>
    </row>
    <row r="546" spans="1:7" x14ac:dyDescent="0.25">
      <c r="A546" s="2">
        <v>4</v>
      </c>
      <c r="B546" s="2" t="s">
        <v>45</v>
      </c>
      <c r="C546" s="2">
        <v>2</v>
      </c>
      <c r="D546" s="11">
        <v>1791328189.755182</v>
      </c>
      <c r="E546" s="7">
        <f>D546-D545</f>
        <v>1.08893847465515</v>
      </c>
      <c r="F546" s="9">
        <v>1014</v>
      </c>
      <c r="G546" s="5">
        <f>(F546-F545)/$G$2/(D546-D545)*100</f>
        <v>29.386416904898</v>
      </c>
    </row>
    <row r="547" spans="1:7" x14ac:dyDescent="0.25">
      <c r="A547" s="2">
        <v>4</v>
      </c>
      <c r="B547" s="2" t="s">
        <v>45</v>
      </c>
      <c r="C547" s="2">
        <v>3</v>
      </c>
      <c r="D547" s="11">
        <v>1791328190.8493145</v>
      </c>
      <c r="E547" s="7">
        <f>D547-D545</f>
        <v>2.18307089805603</v>
      </c>
      <c r="F547" s="9">
        <v>1025</v>
      </c>
      <c r="G547" s="5">
        <f>(F547-F546)/$G$2/(D547-D546)*100</f>
        <v>10.0536276640161</v>
      </c>
    </row>
    <row r="548" spans="1:7" x14ac:dyDescent="0.25">
      <c r="A548" s="2">
        <v>4</v>
      </c>
      <c r="B548" s="2" t="s">
        <v>45</v>
      </c>
      <c r="C548" s="2">
        <v>4</v>
      </c>
      <c r="D548" s="11">
        <v>1791328191.9530091</v>
      </c>
      <c r="E548" s="7">
        <f>D548-D545</f>
        <v>3.28676557540894</v>
      </c>
      <c r="F548" s="9">
        <v>1037</v>
      </c>
      <c r="G548" s="5">
        <f>(F548-F547)/$G$2/(D548-D547)*100</f>
        <v>10.8725721399515</v>
      </c>
    </row>
    <row r="549" spans="1:7" x14ac:dyDescent="0.25">
      <c r="A549" s="2">
        <v>4</v>
      </c>
      <c r="B549" s="2" t="s">
        <v>45</v>
      </c>
      <c r="C549" s="2">
        <v>5</v>
      </c>
      <c r="D549" s="11">
        <v>1791328193.0581827</v>
      </c>
      <c r="E549" s="7">
        <f>D549-D545</f>
        <v>4.39193916320801</v>
      </c>
      <c r="F549" s="9">
        <v>1050</v>
      </c>
      <c r="G549" s="5">
        <f>(F549-F548)/$G$2/(D549-D548)*100</f>
        <v>11.7628580193354</v>
      </c>
    </row>
    <row r="550" spans="1:7" x14ac:dyDescent="0.25">
      <c r="A550" s="2">
        <v>4</v>
      </c>
      <c r="B550" s="2" t="s">
        <v>45</v>
      </c>
      <c r="C550" s="2">
        <v>6</v>
      </c>
      <c r="D550" s="11">
        <v>1791328194.1662686</v>
      </c>
      <c r="E550" s="7">
        <f>D550-D545</f>
        <v>5.50002503395081</v>
      </c>
      <c r="F550" s="9">
        <v>1068</v>
      </c>
      <c r="G550" s="5">
        <f>(F550-F549)/$G$2/(D550-D549)*100</f>
        <v>16.2442284260279</v>
      </c>
    </row>
    <row r="551" spans="1:7" x14ac:dyDescent="0.25">
      <c r="A551" s="2">
        <v>4</v>
      </c>
      <c r="B551" s="2" t="s">
        <v>45</v>
      </c>
      <c r="C551" s="2">
        <v>7</v>
      </c>
      <c r="D551" s="11">
        <v>1791328195.272687</v>
      </c>
      <c r="E551" s="7">
        <f>D551-D545</f>
        <v>6.60644340515137</v>
      </c>
      <c r="F551" s="9">
        <v>1080</v>
      </c>
      <c r="G551" s="5">
        <f>(F551-F550)/$G$2/(D551-D550)*100</f>
        <v>10.8458068957938</v>
      </c>
    </row>
    <row r="552" spans="1:7" x14ac:dyDescent="0.25">
      <c r="A552" s="2">
        <v>4</v>
      </c>
      <c r="B552" s="2" t="s">
        <v>45</v>
      </c>
      <c r="C552" s="2">
        <v>8</v>
      </c>
      <c r="D552" s="11">
        <v>1791328196.355344</v>
      </c>
      <c r="E552" s="7">
        <f>D552-D545</f>
        <v>7.68910050392151</v>
      </c>
      <c r="F552" s="9">
        <v>1091</v>
      </c>
      <c r="G552" s="5">
        <f>(F552-F551)/$G$2/(D552-D551)*100</f>
        <v>10.160188311235</v>
      </c>
    </row>
    <row r="553" spans="1:7" x14ac:dyDescent="0.25">
      <c r="A553" s="2">
        <v>4</v>
      </c>
      <c r="B553" s="2" t="s">
        <v>45</v>
      </c>
      <c r="C553" s="2">
        <v>9</v>
      </c>
      <c r="D553" s="11">
        <v>1791328197.4125922</v>
      </c>
      <c r="E553" s="7">
        <f>D553-D545</f>
        <v>8.74634861946106</v>
      </c>
      <c r="F553" s="9">
        <v>1104</v>
      </c>
      <c r="G553" s="5">
        <f>(F553-F552)/$G$2/(D553-D552)*100</f>
        <v>12.2960729926349</v>
      </c>
    </row>
    <row r="554" spans="1:7" x14ac:dyDescent="0.25">
      <c r="A554" s="2">
        <v>4</v>
      </c>
      <c r="B554" s="2" t="s">
        <v>45</v>
      </c>
      <c r="C554" s="2">
        <v>10</v>
      </c>
      <c r="D554" s="11">
        <v>1791328198.5135105</v>
      </c>
      <c r="E554" s="7">
        <f>D554-D545</f>
        <v>9.84726691246033</v>
      </c>
      <c r="F554" s="9">
        <v>1117</v>
      </c>
      <c r="G554" s="5">
        <f>(F554-F553)/$G$2/(D554-D553)*100</f>
        <v>11.8083240896867</v>
      </c>
    </row>
    <row r="555" spans="1:7" x14ac:dyDescent="0.25">
      <c r="A555" s="2">
        <v>4</v>
      </c>
      <c r="B555" s="2" t="s">
        <v>45</v>
      </c>
      <c r="C555" s="2">
        <v>11</v>
      </c>
      <c r="D555" s="11">
        <v>1791328199.6621027</v>
      </c>
      <c r="E555" s="7">
        <f>D555-D545</f>
        <v>10.9958591461182</v>
      </c>
      <c r="F555" s="9">
        <v>1130</v>
      </c>
      <c r="G555" s="5">
        <f>(F555-F554)/$G$2/(D555-D554)*100</f>
        <v>11.3182029436155</v>
      </c>
    </row>
    <row r="556" spans="1:7" x14ac:dyDescent="0.25">
      <c r="A556" s="2">
        <v>4</v>
      </c>
      <c r="B556" s="2" t="s">
        <v>45</v>
      </c>
      <c r="C556" s="2">
        <v>12</v>
      </c>
      <c r="D556" s="11">
        <v>1791328200.747073</v>
      </c>
      <c r="E556" s="7">
        <f>D556-D545</f>
        <v>12.0808293819427</v>
      </c>
      <c r="F556" s="9">
        <v>1142</v>
      </c>
      <c r="G556" s="5">
        <f>(F556-F555)/$G$2/(D556-D555)*100</f>
        <v>11.0602112424586</v>
      </c>
    </row>
    <row r="557" spans="1:7" x14ac:dyDescent="0.25">
      <c r="A557" s="2">
        <v>4</v>
      </c>
      <c r="B557" s="2" t="s">
        <v>45</v>
      </c>
      <c r="C557" s="2">
        <v>13</v>
      </c>
      <c r="D557" s="11">
        <v>1791328201.8523326</v>
      </c>
      <c r="E557" s="7">
        <f>D557-D545</f>
        <v>13.1860890388489</v>
      </c>
      <c r="F557" s="9">
        <v>1177</v>
      </c>
      <c r="G557" s="5">
        <f>(F557-F556)/$G$2/(D557-D556)*100</f>
        <v>31.6667669730866</v>
      </c>
    </row>
    <row r="558" spans="1:7" x14ac:dyDescent="0.25">
      <c r="A558" s="2">
        <v>4</v>
      </c>
      <c r="B558" s="2" t="s">
        <v>45</v>
      </c>
      <c r="C558" s="2">
        <v>14</v>
      </c>
      <c r="D558" s="11">
        <v>1791328202.9556942</v>
      </c>
      <c r="E558" s="7">
        <f>D558-D545</f>
        <v>14.2894506454468</v>
      </c>
      <c r="F558" s="9">
        <v>1188</v>
      </c>
      <c r="G558" s="5">
        <f>(F558-F557)/$G$2/(D558-D557)*100</f>
        <v>9.96953304720956</v>
      </c>
    </row>
    <row r="559" spans="1:7" x14ac:dyDescent="0.25">
      <c r="A559" s="2">
        <v>4</v>
      </c>
      <c r="B559" s="2" t="s">
        <v>45</v>
      </c>
      <c r="C559" s="2">
        <v>15</v>
      </c>
      <c r="D559" s="11">
        <v>1791328204.0645587</v>
      </c>
      <c r="E559" s="7">
        <f>D559-D545</f>
        <v>15.3983151912689</v>
      </c>
      <c r="F559" s="9">
        <v>1209</v>
      </c>
      <c r="G559" s="5">
        <f>(F559-F558)/$G$2/(D559-D558)*100</f>
        <v>18.9382914974795</v>
      </c>
    </row>
    <row r="560" spans="1:7" x14ac:dyDescent="0.25">
      <c r="A560" s="2">
        <v>4</v>
      </c>
      <c r="B560" s="2" t="s">
        <v>45</v>
      </c>
      <c r="C560" s="2">
        <v>16</v>
      </c>
      <c r="D560" s="11">
        <v>1791328205.1444955</v>
      </c>
      <c r="E560" s="7">
        <f>D560-D545</f>
        <v>16.4782519340515</v>
      </c>
      <c r="F560" s="9">
        <v>1220</v>
      </c>
      <c r="G560" s="5">
        <f>(F560-F559)/$G$2/(D560-D559)*100</f>
        <v>10.1857817816784</v>
      </c>
    </row>
    <row r="561" spans="1:7" x14ac:dyDescent="0.25">
      <c r="A561" s="2">
        <v>4</v>
      </c>
      <c r="B561" s="2" t="s">
        <v>45</v>
      </c>
      <c r="C561" s="2">
        <v>17</v>
      </c>
      <c r="D561" s="11">
        <v>1791328206.2208943</v>
      </c>
      <c r="E561" s="7">
        <f>D561-D545</f>
        <v>17.5546507835388</v>
      </c>
      <c r="F561" s="9">
        <v>1231</v>
      </c>
      <c r="G561" s="5">
        <f>(F561-F560)/$G$2/(D561-D560)*100</f>
        <v>10.2192602725647</v>
      </c>
    </row>
    <row r="562" spans="1:7" x14ac:dyDescent="0.25">
      <c r="A562" s="2">
        <v>4</v>
      </c>
      <c r="B562" s="2" t="s">
        <v>45</v>
      </c>
      <c r="C562" s="2">
        <v>18</v>
      </c>
      <c r="D562" s="11">
        <v>1791328207.3313127</v>
      </c>
      <c r="E562" s="7">
        <f>D562-D545</f>
        <v>18.665069103241</v>
      </c>
      <c r="F562" s="9">
        <v>1242</v>
      </c>
      <c r="G562" s="5">
        <f>(F562-F561)/$G$2/(D562-D561)*100</f>
        <v>9.90617662265386</v>
      </c>
    </row>
    <row r="563" spans="1:7" x14ac:dyDescent="0.25">
      <c r="A563" s="2">
        <v>4</v>
      </c>
      <c r="B563" s="2" t="s">
        <v>45</v>
      </c>
      <c r="C563" s="2">
        <v>19</v>
      </c>
      <c r="D563" s="11">
        <v>1791328208.4381337</v>
      </c>
      <c r="E563" s="7">
        <f>D563-D545</f>
        <v>19.7718901634216</v>
      </c>
      <c r="F563" s="9">
        <v>1256</v>
      </c>
      <c r="G563" s="5">
        <f>(F563-F562)/$G$2/(D563-D562)*100</f>
        <v>12.6488377423129</v>
      </c>
    </row>
    <row r="564" spans="1:7" x14ac:dyDescent="0.25">
      <c r="A564" s="2">
        <v>4</v>
      </c>
      <c r="B564" s="2" t="s">
        <v>45</v>
      </c>
      <c r="C564" s="2">
        <v>20</v>
      </c>
      <c r="D564" s="11">
        <v>1791328209.5211086</v>
      </c>
      <c r="E564" s="7">
        <f>D564-D545</f>
        <v>20.8548650741577</v>
      </c>
      <c r="F564" s="9">
        <v>1267</v>
      </c>
      <c r="G564" s="5">
        <f>(F564-F563)/$G$2/(D564-D563)*100</f>
        <v>10.1572066822152</v>
      </c>
    </row>
    <row r="565" spans="1:7" x14ac:dyDescent="0.25">
      <c r="A565" s="2">
        <v>4</v>
      </c>
      <c r="B565" s="2" t="s">
        <v>45</v>
      </c>
      <c r="C565" s="2">
        <v>21</v>
      </c>
      <c r="D565" s="11">
        <v>1791328210.624247</v>
      </c>
      <c r="E565" s="7">
        <f>D565-D545</f>
        <v>21.9580035209656</v>
      </c>
      <c r="F565" s="9">
        <v>1269</v>
      </c>
      <c r="G565" s="5">
        <f>(F565-F564)/$G$2/(D565-D564)*100</f>
        <v>1.81300906136249</v>
      </c>
    </row>
    <row r="566" spans="1:7" x14ac:dyDescent="0.25">
      <c r="A566" s="2">
        <v>4</v>
      </c>
      <c r="B566" s="2" t="s">
        <v>45</v>
      </c>
      <c r="C566" s="2">
        <v>22</v>
      </c>
      <c r="D566" s="11">
        <v>1791328211.6939597</v>
      </c>
      <c r="E566" s="7">
        <f>D566-D545</f>
        <v>23.0277161598206</v>
      </c>
      <c r="F566" s="9">
        <v>1272</v>
      </c>
      <c r="G566" s="5">
        <f>(F566-F565)/$G$2/(D566-D565)*100</f>
        <v>2.8044914970914</v>
      </c>
    </row>
    <row r="567" spans="1:7" x14ac:dyDescent="0.25">
      <c r="A567" s="2">
        <v>4</v>
      </c>
      <c r="B567" s="2" t="s">
        <v>45</v>
      </c>
      <c r="C567" s="2">
        <v>23</v>
      </c>
      <c r="D567" s="11">
        <v>1791328212.742239</v>
      </c>
      <c r="E567" s="7">
        <f>D567-D545</f>
        <v>24.0759954452515</v>
      </c>
      <c r="F567" s="9">
        <v>1274</v>
      </c>
      <c r="G567" s="5">
        <f>(F567-F566)/$G$2/(D567-D566)*100</f>
        <v>1.90788850623703</v>
      </c>
    </row>
    <row r="568" spans="1:7" x14ac:dyDescent="0.25">
      <c r="A568" s="2">
        <v>4</v>
      </c>
      <c r="B568" s="2" t="s">
        <v>45</v>
      </c>
      <c r="C568" s="2">
        <v>24</v>
      </c>
      <c r="D568" s="11">
        <v>1791328213.8044746</v>
      </c>
      <c r="E568" s="7">
        <f>D568-D545</f>
        <v>25.1382310390472</v>
      </c>
      <c r="F568" s="9">
        <v>1295</v>
      </c>
      <c r="G568" s="5">
        <f>(F568-F567)/$G$2/(D568-D567)*100</f>
        <v>19.7696256109804</v>
      </c>
    </row>
    <row r="569" spans="1:7" x14ac:dyDescent="0.25">
      <c r="A569" s="2">
        <v>4</v>
      </c>
      <c r="B569" s="2" t="s">
        <v>45</v>
      </c>
      <c r="C569" s="2">
        <v>25</v>
      </c>
      <c r="D569" s="11">
        <v>1791328214.8929682</v>
      </c>
      <c r="E569" s="7">
        <f>D569-D545</f>
        <v>26.2267246246338</v>
      </c>
      <c r="F569" s="9">
        <v>1298</v>
      </c>
      <c r="G569" s="5">
        <f>(F569-F568)/$G$2/(D569-D568)*100</f>
        <v>2.75610259878878</v>
      </c>
    </row>
    <row r="570" spans="1:7" x14ac:dyDescent="0.25">
      <c r="A570" s="2">
        <v>4</v>
      </c>
      <c r="B570" s="2" t="s">
        <v>45</v>
      </c>
      <c r="C570" s="2">
        <v>26</v>
      </c>
      <c r="D570" s="11">
        <v>1791328215.9414537</v>
      </c>
      <c r="E570" s="7">
        <f>D570-D545</f>
        <v>27.2752101421356</v>
      </c>
      <c r="F570" s="9">
        <v>1300</v>
      </c>
      <c r="G570" s="5">
        <f>(F570-F569)/$G$2/(D570-D569)*100</f>
        <v>1.90751323372143</v>
      </c>
    </row>
    <row r="571" spans="1:7" x14ac:dyDescent="0.25">
      <c r="A571" s="2">
        <v>4</v>
      </c>
      <c r="B571" s="2" t="s">
        <v>45</v>
      </c>
      <c r="C571" s="2">
        <v>27</v>
      </c>
      <c r="D571" s="11">
        <v>1791328216.98212</v>
      </c>
      <c r="E571" s="7">
        <f>D571-D545</f>
        <v>28.3158764839172</v>
      </c>
      <c r="F571" s="9">
        <v>1301</v>
      </c>
      <c r="G571" s="5">
        <f>(F571-F570)/$G$2/(D571-D570)*100</f>
        <v>0.960922785576023</v>
      </c>
    </row>
    <row r="572" spans="1:7" x14ac:dyDescent="0.25">
      <c r="A572" s="2">
        <v>4</v>
      </c>
      <c r="B572" s="2" t="s">
        <v>45</v>
      </c>
      <c r="C572" s="2">
        <v>28</v>
      </c>
      <c r="D572" s="11">
        <v>1791328218.0141613</v>
      </c>
      <c r="E572" s="7">
        <f>D572-D545</f>
        <v>29.3479177951813</v>
      </c>
      <c r="F572" s="9">
        <v>1303</v>
      </c>
      <c r="G572" s="5">
        <f>(F572-F571)/$G$2/(D572-D571)*100</f>
        <v>1.93790692113905</v>
      </c>
    </row>
    <row r="573" spans="1:7" x14ac:dyDescent="0.25">
      <c r="A573" s="2">
        <v>4</v>
      </c>
      <c r="B573" s="2" t="s">
        <v>45</v>
      </c>
      <c r="C573" s="2">
        <v>29</v>
      </c>
      <c r="D573" s="11">
        <v>1791328219.046824</v>
      </c>
      <c r="E573" s="7">
        <f>D573-D545</f>
        <v>30.3805804252625</v>
      </c>
      <c r="F573" s="9">
        <v>1308</v>
      </c>
      <c r="G573" s="5">
        <f>(F573-F572)/$G$2/(D573-D572)*100</f>
        <v>4.84185236722177</v>
      </c>
    </row>
    <row r="574" spans="1:7" x14ac:dyDescent="0.25">
      <c r="A574" s="2">
        <v>4</v>
      </c>
      <c r="B574" s="2" t="s">
        <v>45</v>
      </c>
      <c r="C574" s="2">
        <v>30</v>
      </c>
      <c r="D574" s="11">
        <v>1791328220.076419</v>
      </c>
      <c r="E574" s="7">
        <f>D574-D545</f>
        <v>31.4101755619049</v>
      </c>
      <c r="F574" s="9">
        <v>1312</v>
      </c>
      <c r="G574" s="5">
        <f>(F574-F573)/$G$2/(D574-D573)*100</f>
        <v>3.88502223606469</v>
      </c>
    </row>
    <row r="575" spans="1:7" x14ac:dyDescent="0.25">
      <c r="A575" s="2">
        <v>4</v>
      </c>
      <c r="B575" s="2" t="s">
        <v>45</v>
      </c>
      <c r="C575" s="2">
        <v>31</v>
      </c>
      <c r="D575" s="11">
        <v>1791328221.1194224</v>
      </c>
      <c r="E575" s="7">
        <f>D575-D545</f>
        <v>32.4531788825989</v>
      </c>
      <c r="F575" s="9">
        <v>1317</v>
      </c>
      <c r="G575" s="5">
        <f>(F575-F574)/$G$2/(D575-D574)*100</f>
        <v>4.79384859165474</v>
      </c>
    </row>
    <row r="576" spans="1:7" x14ac:dyDescent="0.25">
      <c r="A576" s="2">
        <v>4</v>
      </c>
      <c r="B576" s="2" t="s">
        <v>45</v>
      </c>
      <c r="C576" s="2">
        <v>32</v>
      </c>
      <c r="D576" s="11">
        <v>1791328222.1714113</v>
      </c>
      <c r="E576" s="7">
        <f>D576-D545</f>
        <v>33.505167722702</v>
      </c>
      <c r="F576" s="9">
        <v>1326</v>
      </c>
      <c r="G576" s="5">
        <f>(F576-F575)/$G$2/(D576-D575)*100</f>
        <v>8.55522383594633</v>
      </c>
    </row>
    <row r="577" spans="1:7" x14ac:dyDescent="0.25">
      <c r="A577" s="2">
        <v>4</v>
      </c>
      <c r="B577" s="2" t="s">
        <v>45</v>
      </c>
      <c r="C577" s="2">
        <v>33</v>
      </c>
      <c r="D577" s="11">
        <v>1791328223.24381</v>
      </c>
      <c r="E577" s="7">
        <f>D577-D545</f>
        <v>34.5775663852692</v>
      </c>
      <c r="F577" s="9">
        <v>1334</v>
      </c>
      <c r="G577" s="5">
        <f>(F577-F576)/$G$2/(D577-D576)*100</f>
        <v>7.45991232481526</v>
      </c>
    </row>
    <row r="578" spans="1:7" x14ac:dyDescent="0.25">
      <c r="A578" s="2">
        <v>4</v>
      </c>
      <c r="B578" s="2" t="s">
        <v>45</v>
      </c>
      <c r="C578" s="2">
        <v>34</v>
      </c>
      <c r="D578" s="11">
        <v>1791328224.3109815</v>
      </c>
      <c r="E578" s="7">
        <f>D578-D545</f>
        <v>35.6447379589081</v>
      </c>
      <c r="F578" s="9">
        <v>1342</v>
      </c>
      <c r="G578" s="5">
        <f>(F578-F577)/$G$2/(D578-D577)*100</f>
        <v>7.49645155251001</v>
      </c>
    </row>
    <row r="579" spans="1:7" x14ac:dyDescent="0.25">
      <c r="A579" s="2">
        <v>4</v>
      </c>
      <c r="B579" s="2" t="s">
        <v>45</v>
      </c>
      <c r="C579" s="2">
        <v>35</v>
      </c>
      <c r="D579" s="11">
        <v>1791328225.3746781</v>
      </c>
      <c r="E579" s="7">
        <f>D579-D545</f>
        <v>36.7084345817566</v>
      </c>
      <c r="F579" s="9">
        <v>1357</v>
      </c>
      <c r="G579" s="5">
        <f>(F579-F578)/$G$2/(D579-D578)*100</f>
        <v>14.1017651817216</v>
      </c>
    </row>
    <row r="580" spans="1:7" x14ac:dyDescent="0.25">
      <c r="A580" s="2">
        <v>4</v>
      </c>
      <c r="B580" s="2" t="s">
        <v>45</v>
      </c>
      <c r="C580" s="2">
        <v>36</v>
      </c>
      <c r="D580" s="11">
        <v>1791328226.4295237</v>
      </c>
      <c r="E580" s="7">
        <f>D580-D545</f>
        <v>37.7632801532745</v>
      </c>
      <c r="F580" s="9">
        <v>1363</v>
      </c>
      <c r="G580" s="5">
        <f>(F580-F579)/$G$2/(D580-D579)*100</f>
        <v>5.68803639320008</v>
      </c>
    </row>
    <row r="581" spans="1:7" x14ac:dyDescent="0.25">
      <c r="A581" s="2">
        <v>4</v>
      </c>
      <c r="B581" s="2" t="s">
        <v>45</v>
      </c>
      <c r="C581" s="2">
        <v>37</v>
      </c>
      <c r="D581" s="11">
        <v>1791328227.507028</v>
      </c>
      <c r="E581" s="7">
        <f>D581-D545</f>
        <v>38.8407845497131</v>
      </c>
      <c r="F581" s="9">
        <v>1373</v>
      </c>
      <c r="G581" s="5">
        <f>(F581-F580)/$G$2/(D581-D580)*100</f>
        <v>9.28070459206692</v>
      </c>
    </row>
    <row r="582" spans="1:7" x14ac:dyDescent="0.25">
      <c r="A582" s="2">
        <v>4</v>
      </c>
      <c r="B582" s="2" t="s">
        <v>45</v>
      </c>
      <c r="C582" s="2">
        <v>38</v>
      </c>
      <c r="D582" s="11">
        <v>1791328228.602832</v>
      </c>
      <c r="E582" s="7">
        <f>D582-D545</f>
        <v>39.9365885257721</v>
      </c>
      <c r="F582" s="9">
        <v>1383</v>
      </c>
      <c r="G582" s="5">
        <f>(F582-F581)/$G$2/(D582-D581)*100</f>
        <v>9.12571976236555</v>
      </c>
    </row>
    <row r="583" spans="1:7" x14ac:dyDescent="0.25">
      <c r="A583" s="2">
        <v>4</v>
      </c>
      <c r="B583" s="2" t="s">
        <v>45</v>
      </c>
      <c r="C583" s="2">
        <v>39</v>
      </c>
      <c r="D583" s="11">
        <v>1791328229.6903687</v>
      </c>
      <c r="E583" s="7">
        <f>D583-D545</f>
        <v>41.0241250991821</v>
      </c>
      <c r="F583" s="9">
        <v>1393</v>
      </c>
      <c r="G583" s="5">
        <f>(F583-F582)/$G$2/(D583-D582)*100</f>
        <v>9.19509306123326</v>
      </c>
    </row>
    <row r="584" spans="1:7" x14ac:dyDescent="0.25">
      <c r="A584" s="2">
        <v>4</v>
      </c>
      <c r="B584" s="2" t="s">
        <v>45</v>
      </c>
      <c r="C584" s="2">
        <v>40</v>
      </c>
      <c r="D584" s="11">
        <v>1791328230.783217</v>
      </c>
      <c r="E584" s="7">
        <f>D584-D545</f>
        <v>42.116973400116</v>
      </c>
      <c r="F584" s="9">
        <v>1400</v>
      </c>
      <c r="G584" s="5">
        <f>(F584-F583)/$G$2/(D584-D583)*100</f>
        <v>6.40528058104543</v>
      </c>
    </row>
    <row r="585" spans="1:7" x14ac:dyDescent="0.25">
      <c r="A585" s="2">
        <v>4</v>
      </c>
      <c r="B585" s="2" t="s">
        <v>45</v>
      </c>
      <c r="C585" s="2">
        <v>41</v>
      </c>
      <c r="D585" s="11">
        <v>1791328231.8850822</v>
      </c>
      <c r="E585" s="7">
        <f>D585-D545</f>
        <v>43.2188386917114</v>
      </c>
      <c r="F585" s="9">
        <v>1411</v>
      </c>
      <c r="G585" s="5">
        <f>(F585-F584)/$G$2/(D585-D584)*100</f>
        <v>9.98307150965107</v>
      </c>
    </row>
    <row r="586" spans="1:7" x14ac:dyDescent="0.25">
      <c r="A586" s="2">
        <v>4</v>
      </c>
      <c r="B586" s="2" t="s">
        <v>45</v>
      </c>
      <c r="C586" s="2">
        <v>42</v>
      </c>
      <c r="D586" s="11">
        <v>1791328232.9877045</v>
      </c>
      <c r="E586" s="7">
        <f>D586-D545</f>
        <v>44.3214609622955</v>
      </c>
      <c r="F586" s="9">
        <v>1422</v>
      </c>
      <c r="G586" s="5">
        <f>(F586-F585)/$G$2/(D586-D585)*100</f>
        <v>9.97621787030732</v>
      </c>
    </row>
    <row r="587" spans="1:7" x14ac:dyDescent="0.25">
      <c r="A587" s="2">
        <v>4</v>
      </c>
      <c r="B587" s="2" t="s">
        <v>45</v>
      </c>
      <c r="C587" s="2">
        <v>43</v>
      </c>
      <c r="D587" s="11">
        <v>1791328234.0719717</v>
      </c>
      <c r="E587" s="7">
        <f>D587-D545</f>
        <v>45.4057281017303</v>
      </c>
      <c r="F587" s="9">
        <v>1440</v>
      </c>
      <c r="G587" s="5">
        <f>(F587-F586)/$G$2/(D587-D586)*100</f>
        <v>16.6010749061183</v>
      </c>
    </row>
    <row r="588" spans="1:7" x14ac:dyDescent="0.25">
      <c r="A588" s="2">
        <v>4</v>
      </c>
      <c r="B588" s="2" t="s">
        <v>45</v>
      </c>
      <c r="C588" s="2">
        <v>44</v>
      </c>
      <c r="D588" s="11">
        <v>1791328235.1783235</v>
      </c>
      <c r="E588" s="7">
        <f>D588-D545</f>
        <v>46.5120799541473</v>
      </c>
      <c r="F588" s="9">
        <v>1454</v>
      </c>
      <c r="G588" s="5">
        <f>(F588-F587)/$G$2/(D588-D587)*100</f>
        <v>12.6542021594802</v>
      </c>
    </row>
    <row r="589" spans="1:7" x14ac:dyDescent="0.25">
      <c r="A589" s="2">
        <v>4</v>
      </c>
      <c r="B589" s="2" t="s">
        <v>45</v>
      </c>
      <c r="C589" s="2">
        <v>45</v>
      </c>
      <c r="D589" s="11">
        <v>1791328236.282731</v>
      </c>
      <c r="E589" s="7">
        <f>D589-D545</f>
        <v>47.6164875030518</v>
      </c>
      <c r="F589" s="9">
        <v>1464</v>
      </c>
      <c r="G589" s="5">
        <f>(F589-F588)/$G$2/(D589-D588)*100</f>
        <v>9.05462843849635</v>
      </c>
    </row>
    <row r="590" spans="1:7" x14ac:dyDescent="0.25">
      <c r="A590" s="2">
        <v>4</v>
      </c>
      <c r="B590" s="2" t="s">
        <v>45</v>
      </c>
      <c r="C590" s="2">
        <v>46</v>
      </c>
      <c r="D590" s="11">
        <v>1791328237.3694518</v>
      </c>
      <c r="E590" s="7">
        <f>D590-D545</f>
        <v>48.7032082080841</v>
      </c>
      <c r="F590" s="9">
        <v>1493</v>
      </c>
      <c r="G590" s="5">
        <f>(F590-F589)/$G$2/(D590-D589)*100</f>
        <v>26.685789518602</v>
      </c>
    </row>
    <row r="591" spans="1:7" x14ac:dyDescent="0.25">
      <c r="A591" s="2">
        <v>4</v>
      </c>
      <c r="B591" s="2" t="s">
        <v>45</v>
      </c>
      <c r="C591" s="2">
        <v>47</v>
      </c>
      <c r="D591" s="11">
        <v>1791328238.4273355</v>
      </c>
      <c r="E591" s="7">
        <f>D591-D545</f>
        <v>49.7610919475555</v>
      </c>
      <c r="F591" s="9">
        <v>1503</v>
      </c>
      <c r="G591" s="5">
        <f>(F591-F590)/$G$2/(D591-D590)*100</f>
        <v>9.45283458558162</v>
      </c>
    </row>
    <row r="592" spans="1:7" x14ac:dyDescent="0.25">
      <c r="A592" s="2">
        <v>4</v>
      </c>
      <c r="B592" s="2" t="s">
        <v>45</v>
      </c>
      <c r="C592" s="2">
        <v>48</v>
      </c>
      <c r="D592" s="11">
        <v>1791328239.503549</v>
      </c>
      <c r="E592" s="7">
        <f>D592-D545</f>
        <v>50.8373055458069</v>
      </c>
      <c r="F592" s="9">
        <v>1516</v>
      </c>
      <c r="G592" s="5">
        <f>(F592-F591)/$G$2/(D592-D591)*100</f>
        <v>12.0793864908627</v>
      </c>
    </row>
    <row r="593" spans="1:7" x14ac:dyDescent="0.25">
      <c r="A593" s="2">
        <v>4</v>
      </c>
      <c r="B593" s="2" t="s">
        <v>45</v>
      </c>
      <c r="C593" s="2">
        <v>49</v>
      </c>
      <c r="D593" s="11">
        <v>1791328240.611234</v>
      </c>
      <c r="E593" s="7">
        <f>D593-D545</f>
        <v>51.9449903964996</v>
      </c>
      <c r="F593" s="9">
        <v>1529</v>
      </c>
      <c r="G593" s="5">
        <f>(F593-F592)/$G$2/(D593-D592)*100</f>
        <v>11.7361901193013</v>
      </c>
    </row>
    <row r="594" spans="1:7" x14ac:dyDescent="0.25">
      <c r="A594" s="2">
        <v>4</v>
      </c>
      <c r="B594" s="2" t="s">
        <v>45</v>
      </c>
      <c r="C594" s="2">
        <v>50</v>
      </c>
      <c r="D594" s="11">
        <v>1791328241.697048</v>
      </c>
      <c r="E594" s="7">
        <f>D594-D545</f>
        <v>53.0308043956757</v>
      </c>
      <c r="F594" s="9">
        <v>1542</v>
      </c>
      <c r="G594" s="5">
        <f>(F594-F593)/$G$2/(D594-D593)*100</f>
        <v>11.9725846322345</v>
      </c>
    </row>
    <row r="595" spans="1:7" x14ac:dyDescent="0.25">
      <c r="A595" s="2">
        <v>4</v>
      </c>
      <c r="B595" s="2" t="s">
        <v>45</v>
      </c>
      <c r="C595" s="2">
        <v>51</v>
      </c>
      <c r="D595" s="11">
        <v>1791328242.8335562</v>
      </c>
      <c r="E595" s="7">
        <f>D595-D545</f>
        <v>54.1673126220703</v>
      </c>
      <c r="F595" s="9">
        <v>1547</v>
      </c>
      <c r="G595" s="5">
        <f>(F595-F594)/$G$2/(D595-D594)*100</f>
        <v>4.39944021862605</v>
      </c>
    </row>
    <row r="596" spans="1:7" x14ac:dyDescent="0.25">
      <c r="A596" s="2">
        <v>4</v>
      </c>
      <c r="B596" s="2" t="s">
        <v>45</v>
      </c>
      <c r="C596" s="2">
        <v>52</v>
      </c>
      <c r="D596" s="11">
        <v>1791328243.8671691</v>
      </c>
      <c r="E596" s="7">
        <f>D596-D545</f>
        <v>55.2009255886078</v>
      </c>
      <c r="F596" s="9">
        <v>1551</v>
      </c>
      <c r="G596" s="5">
        <f>(F596-F595)/$G$2/(D596-D595)*100</f>
        <v>3.86992049199972</v>
      </c>
    </row>
    <row r="597" spans="1:7" x14ac:dyDescent="0.25">
      <c r="A597" s="2">
        <v>4</v>
      </c>
      <c r="B597" s="2" t="s">
        <v>45</v>
      </c>
      <c r="C597" s="2">
        <v>53</v>
      </c>
      <c r="D597" s="11">
        <v>1791328244.9233181</v>
      </c>
      <c r="E597" s="7">
        <f>D597-D545</f>
        <v>56.2570745944977</v>
      </c>
      <c r="F597" s="9">
        <v>1556</v>
      </c>
      <c r="G597" s="5">
        <f>(F597-F596)/$G$2/(D597-D596)*100</f>
        <v>4.73418047275165</v>
      </c>
    </row>
    <row r="598" spans="1:7" x14ac:dyDescent="0.25">
      <c r="A598" s="2">
        <v>4</v>
      </c>
      <c r="B598" s="2" t="s">
        <v>45</v>
      </c>
      <c r="C598" s="2">
        <v>54</v>
      </c>
      <c r="D598" s="11">
        <v>1791328246.029521</v>
      </c>
      <c r="E598" s="7">
        <f>D598-D545</f>
        <v>57.3632774353027</v>
      </c>
      <c r="F598" s="9">
        <v>1568</v>
      </c>
      <c r="G598" s="5">
        <f>(F598-F597)/$G$2/(D598-D597)*100</f>
        <v>10.8479200715728</v>
      </c>
    </row>
    <row r="599" spans="1:7" x14ac:dyDescent="0.25">
      <c r="A599" s="2">
        <v>4</v>
      </c>
      <c r="B599" s="2" t="s">
        <v>45</v>
      </c>
      <c r="C599" s="2">
        <v>55</v>
      </c>
      <c r="D599" s="11">
        <v>1791328247.1261652</v>
      </c>
      <c r="E599" s="7">
        <f>D599-D545</f>
        <v>58.4599215984345</v>
      </c>
      <c r="F599" s="9">
        <v>1572</v>
      </c>
      <c r="G599" s="5">
        <f>(F599-F598)/$G$2/(D599-D598)*100</f>
        <v>3.64749125967816</v>
      </c>
    </row>
    <row r="600" spans="1:7" x14ac:dyDescent="0.25">
      <c r="A600" s="2">
        <v>4</v>
      </c>
      <c r="B600" s="2" t="s">
        <v>45</v>
      </c>
      <c r="C600" s="2">
        <v>56</v>
      </c>
      <c r="D600" s="11">
        <v>1791328248.2140431</v>
      </c>
      <c r="E600" s="7">
        <f>D600-D545</f>
        <v>59.5477995872498</v>
      </c>
      <c r="F600" s="9">
        <v>1584</v>
      </c>
      <c r="G600" s="5">
        <f>(F600-F599)/$G$2/(D600-D599)*100</f>
        <v>11.0306487707026</v>
      </c>
    </row>
    <row r="601" spans="1:7" x14ac:dyDescent="0.25">
      <c r="A601" s="2">
        <v>4</v>
      </c>
      <c r="B601" s="2" t="s">
        <v>45</v>
      </c>
      <c r="C601" s="2">
        <v>57</v>
      </c>
      <c r="D601" s="11">
        <v>1791328249.2775207</v>
      </c>
      <c r="E601" s="7">
        <f>D601-D545</f>
        <v>60.6112771034241</v>
      </c>
      <c r="F601" s="9">
        <v>1601</v>
      </c>
      <c r="G601" s="5">
        <f>(F601-F600)/$G$2/(D601-D600)*100</f>
        <v>15.9852932868338</v>
      </c>
    </row>
    <row r="602" spans="1:7" x14ac:dyDescent="0.25">
      <c r="A602" s="2">
        <v>4</v>
      </c>
      <c r="B602" s="2" t="s">
        <v>45</v>
      </c>
      <c r="C602" s="2">
        <v>58</v>
      </c>
      <c r="D602" s="11">
        <v>1791328250.354655</v>
      </c>
      <c r="E602" s="7">
        <f>D602-D545</f>
        <v>61.6884114742279</v>
      </c>
      <c r="F602" s="9">
        <v>1617</v>
      </c>
      <c r="G602" s="5">
        <f>(F602-F601)/$G$2/(D602-D601)*100</f>
        <v>14.8542284358261</v>
      </c>
    </row>
    <row r="603" spans="1:7" x14ac:dyDescent="0.25">
      <c r="A603" s="2">
        <v>4</v>
      </c>
      <c r="B603" s="2" t="s">
        <v>45</v>
      </c>
      <c r="C603" s="2">
        <v>59</v>
      </c>
      <c r="D603" s="11">
        <v>1791328251.422977</v>
      </c>
      <c r="E603" s="7">
        <f>D603-D545</f>
        <v>62.756733417511</v>
      </c>
      <c r="F603" s="9">
        <v>1623</v>
      </c>
      <c r="G603" s="5">
        <f>(F603-F602)/$G$2/(D603-D602)*100</f>
        <v>5.61628452707925</v>
      </c>
    </row>
    <row r="604" spans="1:7" x14ac:dyDescent="0.25">
      <c r="A604" s="2">
        <v>4</v>
      </c>
      <c r="B604" s="2" t="s">
        <v>45</v>
      </c>
      <c r="C604" s="2">
        <v>60</v>
      </c>
      <c r="D604" s="11">
        <v>1791328252.4891994</v>
      </c>
      <c r="E604" s="7">
        <f>D604-D545</f>
        <v>63.8229558467865</v>
      </c>
      <c r="F604" s="9">
        <v>1633</v>
      </c>
      <c r="G604" s="5">
        <f>(F604-F603)/$G$2/(D604-D603)*100</f>
        <v>9.37890605696121</v>
      </c>
    </row>
    <row r="605" spans="1:7" x14ac:dyDescent="0.25">
      <c r="A605" s="2">
        <v>4</v>
      </c>
      <c r="B605" s="2" t="s">
        <v>45</v>
      </c>
      <c r="C605" s="2">
        <v>61</v>
      </c>
      <c r="D605" s="11">
        <v>1791328253.612134</v>
      </c>
      <c r="E605" s="7">
        <f>D605-D545</f>
        <v>64.9458904266357</v>
      </c>
      <c r="F605" s="9">
        <v>1644</v>
      </c>
      <c r="G605" s="5">
        <f>(F605-F604)/$G$2/(D605-D604)*100</f>
        <v>9.7957621017217</v>
      </c>
    </row>
    <row r="606" spans="1:7" x14ac:dyDescent="0.25">
      <c r="A606" s="2">
        <v>4</v>
      </c>
      <c r="B606" s="2" t="s">
        <v>45</v>
      </c>
      <c r="C606" s="2">
        <v>62</v>
      </c>
      <c r="D606" s="11">
        <v>1791328254.675562</v>
      </c>
      <c r="E606" s="7">
        <f>D606-D545</f>
        <v>66.0093183517456</v>
      </c>
      <c r="F606" s="9">
        <v>1652</v>
      </c>
      <c r="G606" s="5">
        <f>(F606-F605)/$G$2/(D606-D605)*100</f>
        <v>7.52284175645803</v>
      </c>
    </row>
    <row r="607" spans="1:7" x14ac:dyDescent="0.25">
      <c r="A607" s="2">
        <v>4</v>
      </c>
      <c r="B607" s="2" t="s">
        <v>45</v>
      </c>
      <c r="C607" s="2">
        <v>63</v>
      </c>
      <c r="D607" s="11">
        <v>1791328255.7773507</v>
      </c>
      <c r="E607" s="7">
        <f>D607-D545</f>
        <v>67.1111071109772</v>
      </c>
      <c r="F607" s="9">
        <v>1665</v>
      </c>
      <c r="G607" s="5">
        <f>(F607-F606)/$G$2/(D607-D606)*100</f>
        <v>11.7989949444272</v>
      </c>
    </row>
    <row r="608" spans="1:7" x14ac:dyDescent="0.25">
      <c r="A608" s="2">
        <v>4</v>
      </c>
      <c r="B608" s="2" t="s">
        <v>45</v>
      </c>
      <c r="C608" s="2">
        <v>64</v>
      </c>
      <c r="D608" s="11">
        <v>1791328256.8396018</v>
      </c>
      <c r="E608" s="7">
        <f>D608-D545</f>
        <v>68.1733582019806</v>
      </c>
      <c r="F608" s="9">
        <v>1676</v>
      </c>
      <c r="G608" s="5">
        <f>(F608-F607)/$G$2/(D608-D607)*100</f>
        <v>10.3553671002675</v>
      </c>
    </row>
    <row r="609" spans="1:7" x14ac:dyDescent="0.25">
      <c r="A609" s="2">
        <v>4</v>
      </c>
      <c r="B609" s="2" t="s">
        <v>45</v>
      </c>
      <c r="C609" s="2">
        <v>65</v>
      </c>
      <c r="D609" s="11">
        <v>1791328257.9124901</v>
      </c>
      <c r="E609" s="7">
        <f>D609-D545</f>
        <v>69.2462465763092</v>
      </c>
      <c r="F609" s="9">
        <v>1683</v>
      </c>
      <c r="G609" s="5">
        <f>(F609-F608)/$G$2/(D609-D608)*100</f>
        <v>6.52444389136048</v>
      </c>
    </row>
    <row r="610" spans="1:7" x14ac:dyDescent="0.25">
      <c r="A610" s="2">
        <v>4</v>
      </c>
      <c r="B610" s="2" t="s">
        <v>45</v>
      </c>
      <c r="C610" s="2">
        <v>66</v>
      </c>
      <c r="D610" s="11">
        <v>1791328259.0180604</v>
      </c>
      <c r="E610" s="7">
        <f>D610-D545</f>
        <v>70.3518168926239</v>
      </c>
      <c r="F610" s="9">
        <v>1696</v>
      </c>
      <c r="G610" s="5">
        <f>(F610-F609)/$G$2/(D610-D609)*100</f>
        <v>11.7586369751081</v>
      </c>
    </row>
    <row r="611" spans="1:7" x14ac:dyDescent="0.25">
      <c r="A611" s="2">
        <v>4</v>
      </c>
      <c r="B611" s="2" t="s">
        <v>45</v>
      </c>
      <c r="C611" s="2">
        <v>67</v>
      </c>
      <c r="D611" s="11">
        <v>1791328260.116984</v>
      </c>
      <c r="E611" s="7">
        <f>D611-D545</f>
        <v>71.4507403373718</v>
      </c>
      <c r="F611" s="9">
        <v>1705</v>
      </c>
      <c r="G611" s="5">
        <f>(F611-F610)/$G$2/(D611-D610)*100</f>
        <v>8.18983346202469</v>
      </c>
    </row>
    <row r="612" spans="1:7" x14ac:dyDescent="0.25">
      <c r="A612" s="2">
        <v>4</v>
      </c>
      <c r="B612" s="2" t="s">
        <v>45</v>
      </c>
      <c r="C612" s="2">
        <v>68</v>
      </c>
      <c r="D612" s="11">
        <v>1791328261.2096834</v>
      </c>
      <c r="E612" s="7">
        <f>D612-D545</f>
        <v>72.5434398651123</v>
      </c>
      <c r="F612" s="9">
        <v>1722</v>
      </c>
      <c r="G612" s="5">
        <f>(F612-F611)/$G$2/(D612-D611)*100</f>
        <v>15.5577993477797</v>
      </c>
    </row>
    <row r="613" spans="1:7" x14ac:dyDescent="0.25">
      <c r="A613" s="2">
        <v>4</v>
      </c>
      <c r="B613" s="2" t="s">
        <v>45</v>
      </c>
      <c r="C613" s="2">
        <v>69</v>
      </c>
      <c r="D613" s="11">
        <v>1791328262.3124633</v>
      </c>
      <c r="E613" s="7">
        <f>D613-D545</f>
        <v>73.6462197303772</v>
      </c>
      <c r="F613" s="9">
        <v>1744</v>
      </c>
      <c r="G613" s="5">
        <f>(F613-F612)/$G$2/(D613-D612)*100</f>
        <v>19.9495844029719</v>
      </c>
    </row>
    <row r="614" spans="1:7" x14ac:dyDescent="0.25">
      <c r="A614" s="2">
        <v>4</v>
      </c>
      <c r="B614" s="2" t="s">
        <v>45</v>
      </c>
      <c r="C614" s="2">
        <v>70</v>
      </c>
      <c r="D614" s="11">
        <v>1791328263.3958838</v>
      </c>
      <c r="E614" s="7">
        <f>D614-D545</f>
        <v>74.7296402454376</v>
      </c>
      <c r="F614" s="9">
        <v>1760</v>
      </c>
      <c r="G614" s="5">
        <f>(F614-F613)/$G$2/(D614-D613)*100</f>
        <v>14.7680423045226</v>
      </c>
    </row>
    <row r="615" spans="1:7" x14ac:dyDescent="0.25">
      <c r="A615" s="2">
        <v>4</v>
      </c>
      <c r="B615" s="2" t="s">
        <v>45</v>
      </c>
      <c r="C615" s="2">
        <v>71</v>
      </c>
      <c r="D615" s="11">
        <v>1791328264.5025716</v>
      </c>
      <c r="E615" s="7">
        <f>D615-D545</f>
        <v>75.8363280296326</v>
      </c>
      <c r="F615" s="9">
        <v>1773</v>
      </c>
      <c r="G615" s="5">
        <f>(F615-F614)/$G$2/(D615-D614)*100</f>
        <v>11.7467637988403</v>
      </c>
    </row>
    <row r="616" spans="1:7" x14ac:dyDescent="0.25">
      <c r="A616" s="2">
        <v>4</v>
      </c>
      <c r="B616" s="2" t="s">
        <v>45</v>
      </c>
      <c r="C616" s="2">
        <v>72</v>
      </c>
      <c r="D616" s="11">
        <v>1791328265.6035562</v>
      </c>
      <c r="E616" s="7">
        <f>D616-D545</f>
        <v>76.9373126029968</v>
      </c>
      <c r="F616" s="9">
        <v>1785</v>
      </c>
      <c r="G616" s="5">
        <f>(F616-F615)/$G$2/(D616-D615)*100</f>
        <v>10.8993352770891</v>
      </c>
    </row>
    <row r="617" spans="1:7" x14ac:dyDescent="0.25">
      <c r="A617" s="2">
        <v>4</v>
      </c>
      <c r="B617" s="2" t="s">
        <v>45</v>
      </c>
      <c r="C617" s="2">
        <v>73</v>
      </c>
      <c r="D617" s="11">
        <v>1791328266.705354</v>
      </c>
      <c r="E617" s="7">
        <f>D617-D545</f>
        <v>78.0391104221344</v>
      </c>
      <c r="F617" s="9">
        <v>1798</v>
      </c>
      <c r="G617" s="5">
        <f>(F617-F616)/$G$2/(D617-D616)*100</f>
        <v>11.7988979231922</v>
      </c>
    </row>
    <row r="618" spans="1:7" x14ac:dyDescent="0.25">
      <c r="A618" s="2">
        <v>4</v>
      </c>
      <c r="B618" s="2" t="s">
        <v>45</v>
      </c>
      <c r="C618" s="2">
        <v>74</v>
      </c>
      <c r="D618" s="11">
        <v>1791328267.8085883</v>
      </c>
      <c r="E618" s="7">
        <f>D618-D545</f>
        <v>79.1423447132111</v>
      </c>
      <c r="F618" s="9">
        <v>1809</v>
      </c>
      <c r="G618" s="5">
        <f>(F618-F617)/$G$2/(D618-D617)*100</f>
        <v>9.97068355196335</v>
      </c>
    </row>
    <row r="619" spans="1:7" x14ac:dyDescent="0.25">
      <c r="A619" s="2">
        <v>4</v>
      </c>
      <c r="B619" s="2" t="s">
        <v>45</v>
      </c>
      <c r="C619" s="2">
        <v>75</v>
      </c>
      <c r="D619" s="11">
        <v>1791328268.914844</v>
      </c>
      <c r="E619" s="7">
        <f>D619-D545</f>
        <v>80.2486004829407</v>
      </c>
      <c r="F619" s="9">
        <v>1826</v>
      </c>
      <c r="G619" s="5">
        <f>(F619-F618)/$G$2/(D619-D618)*100</f>
        <v>15.3671514898901</v>
      </c>
    </row>
    <row r="620" spans="1:7" x14ac:dyDescent="0.25">
      <c r="A620" s="2">
        <v>4</v>
      </c>
      <c r="B620" s="2" t="s">
        <v>45</v>
      </c>
      <c r="C620" s="2">
        <v>76</v>
      </c>
      <c r="D620" s="11">
        <v>1791328270.0017161</v>
      </c>
      <c r="E620" s="7">
        <f>D620-D545</f>
        <v>81.3354725837708</v>
      </c>
      <c r="F620" s="9">
        <v>1837</v>
      </c>
      <c r="G620" s="5">
        <f>(F620-F619)/$G$2/(D620-D619)*100</f>
        <v>10.1207860534822</v>
      </c>
    </row>
    <row r="621" spans="1:7" x14ac:dyDescent="0.25">
      <c r="A621" s="2">
        <v>4</v>
      </c>
      <c r="B621" s="2" t="s">
        <v>45</v>
      </c>
      <c r="C621" s="2">
        <v>77</v>
      </c>
      <c r="D621" s="11">
        <v>1791328271.046426</v>
      </c>
      <c r="E621" s="7">
        <f>D621-D545</f>
        <v>82.3801825046539</v>
      </c>
      <c r="F621" s="9">
        <v>1848</v>
      </c>
      <c r="G621" s="5">
        <f>(F621-F620)/$G$2/(D621-D620)*100</f>
        <v>10.5292385762938</v>
      </c>
    </row>
    <row r="622" spans="1:7" x14ac:dyDescent="0.25">
      <c r="A622" s="2">
        <v>4</v>
      </c>
      <c r="B622" s="2" t="s">
        <v>45</v>
      </c>
      <c r="C622" s="2">
        <v>78</v>
      </c>
      <c r="D622" s="11">
        <v>1791328272.1383889</v>
      </c>
      <c r="E622" s="7">
        <f>D622-D545</f>
        <v>83.472145318985</v>
      </c>
      <c r="F622" s="9">
        <v>1859</v>
      </c>
      <c r="G622" s="5">
        <f>(F622-F621)/$G$2/(D622-D621)*100</f>
        <v>10.0736031077566</v>
      </c>
    </row>
    <row r="623" spans="1:7" x14ac:dyDescent="0.25">
      <c r="A623" s="2">
        <v>4</v>
      </c>
      <c r="B623" s="2" t="s">
        <v>45</v>
      </c>
      <c r="C623" s="2">
        <v>79</v>
      </c>
      <c r="D623" s="11">
        <v>1791328273.2289314</v>
      </c>
      <c r="E623" s="7">
        <f>D623-D545</f>
        <v>84.5626878738403</v>
      </c>
      <c r="F623" s="9">
        <v>1887</v>
      </c>
      <c r="G623" s="5">
        <f>(F623-F622)/$G$2/(D623-D622)*100</f>
        <v>25.6752933439759</v>
      </c>
    </row>
    <row r="624" spans="1:7" x14ac:dyDescent="0.25">
      <c r="A624" s="2">
        <v>4</v>
      </c>
      <c r="B624" s="2" t="s">
        <v>45</v>
      </c>
      <c r="C624" s="2">
        <v>80</v>
      </c>
      <c r="D624" s="11">
        <v>1791328274.327406</v>
      </c>
      <c r="E624" s="7">
        <f>D624-D545</f>
        <v>85.6611623764038</v>
      </c>
      <c r="F624" s="9">
        <v>1899</v>
      </c>
      <c r="G624" s="5">
        <f>(F624-F623)/$G$2/(D624-D623)*100</f>
        <v>10.9242408194236</v>
      </c>
    </row>
    <row r="625" spans="1:7" x14ac:dyDescent="0.25">
      <c r="A625" s="2">
        <v>4</v>
      </c>
      <c r="B625" s="2" t="s">
        <v>45</v>
      </c>
      <c r="C625" s="2">
        <v>81</v>
      </c>
      <c r="D625" s="11">
        <v>1791328275.4412189</v>
      </c>
      <c r="E625" s="7">
        <f>D625-D545</f>
        <v>86.7749752998352</v>
      </c>
      <c r="F625" s="9">
        <v>1909</v>
      </c>
      <c r="G625" s="5">
        <f>(F625-F624)/$G$2/(D625-D624)*100</f>
        <v>8.97816840658694</v>
      </c>
    </row>
    <row r="626" spans="1:7" x14ac:dyDescent="0.25">
      <c r="A626" s="2">
        <v>4</v>
      </c>
      <c r="B626" s="2" t="s">
        <v>45</v>
      </c>
      <c r="C626" s="2">
        <v>82</v>
      </c>
      <c r="D626" s="11">
        <v>1791328276.5474105</v>
      </c>
      <c r="E626" s="7">
        <f>D626-D545</f>
        <v>87.881166934967</v>
      </c>
      <c r="F626" s="9">
        <v>1921</v>
      </c>
      <c r="G626" s="5">
        <f>(F626-F625)/$G$2/(D626-D625)*100</f>
        <v>10.848029960532</v>
      </c>
    </row>
    <row r="627" spans="1:7" x14ac:dyDescent="0.25">
      <c r="A627" s="2">
        <v>4</v>
      </c>
      <c r="B627" s="2" t="s">
        <v>45</v>
      </c>
      <c r="C627" s="2">
        <v>83</v>
      </c>
      <c r="D627" s="11">
        <v>1791328277.6493747</v>
      </c>
      <c r="E627" s="7">
        <f>D627-D545</f>
        <v>88.9831311702728</v>
      </c>
      <c r="F627" s="9">
        <v>1933</v>
      </c>
      <c r="G627" s="5">
        <f>(F627-F626)/$G$2/(D627-D626)*100</f>
        <v>10.8896456123824</v>
      </c>
    </row>
    <row r="628" spans="1:7" x14ac:dyDescent="0.25">
      <c r="A628" s="2">
        <v>4</v>
      </c>
      <c r="B628" s="2" t="s">
        <v>45</v>
      </c>
      <c r="C628" s="2">
        <v>84</v>
      </c>
      <c r="D628" s="11">
        <v>1791328278.7305517</v>
      </c>
      <c r="E628" s="7">
        <f>D628-D545</f>
        <v>90.0643081665039</v>
      </c>
      <c r="F628" s="9">
        <v>1950</v>
      </c>
      <c r="G628" s="5">
        <f>(F628-F627)/$G$2/(D628-D627)*100</f>
        <v>15.7236049779648</v>
      </c>
    </row>
    <row r="629" spans="1:7" x14ac:dyDescent="0.25">
      <c r="A629" s="2">
        <v>4</v>
      </c>
      <c r="B629" s="2" t="s">
        <v>45</v>
      </c>
      <c r="C629" s="2">
        <v>85</v>
      </c>
      <c r="D629" s="11">
        <v>1791328279.8219373</v>
      </c>
      <c r="E629" s="7">
        <f>D629-D545</f>
        <v>91.155693769455</v>
      </c>
      <c r="F629" s="9">
        <v>1963</v>
      </c>
      <c r="G629" s="5">
        <f>(F629-F628)/$G$2/(D629-D628)*100</f>
        <v>11.9114637070974</v>
      </c>
    </row>
    <row r="630" spans="1:7" x14ac:dyDescent="0.25">
      <c r="A630" s="2">
        <v>4</v>
      </c>
      <c r="B630" s="2" t="s">
        <v>45</v>
      </c>
      <c r="C630" s="2">
        <v>86</v>
      </c>
      <c r="D630" s="11">
        <v>1791328280.9259615</v>
      </c>
      <c r="E630" s="7">
        <f>D630-D545</f>
        <v>92.2597179412842</v>
      </c>
      <c r="F630" s="9">
        <v>1973</v>
      </c>
      <c r="G630" s="5">
        <f>(F630-F629)/$G$2/(D630-D629)*100</f>
        <v>9.05777269661706</v>
      </c>
    </row>
    <row r="631" spans="1:7" x14ac:dyDescent="0.25">
      <c r="A631" s="2">
        <v>4</v>
      </c>
      <c r="B631" s="2" t="s">
        <v>45</v>
      </c>
      <c r="C631" s="2">
        <v>87</v>
      </c>
      <c r="D631" s="11">
        <v>1791328282.0357413</v>
      </c>
      <c r="E631" s="7">
        <f>D631-D545</f>
        <v>93.3694977760315</v>
      </c>
      <c r="F631" s="9">
        <v>1985</v>
      </c>
      <c r="G631" s="5">
        <f>(F631-F630)/$G$2/(D631-D630)*100</f>
        <v>10.8129555289066</v>
      </c>
    </row>
    <row r="632" spans="1:7" x14ac:dyDescent="0.25">
      <c r="A632" s="2">
        <v>4</v>
      </c>
      <c r="B632" s="2" t="s">
        <v>45</v>
      </c>
      <c r="C632" s="2">
        <v>88</v>
      </c>
      <c r="D632" s="11">
        <v>1791328283.129225</v>
      </c>
      <c r="E632" s="7">
        <f>D632-D545</f>
        <v>94.4629814624786</v>
      </c>
      <c r="F632" s="9">
        <v>2001</v>
      </c>
      <c r="G632" s="5">
        <f>(F632-F631)/$G$2/(D632-D631)*100</f>
        <v>14.6321341582935</v>
      </c>
    </row>
    <row r="633" spans="1:7" x14ac:dyDescent="0.25">
      <c r="A633" s="2">
        <v>4</v>
      </c>
      <c r="B633" s="2" t="s">
        <v>45</v>
      </c>
      <c r="C633" s="2">
        <v>89</v>
      </c>
      <c r="D633" s="11">
        <v>1791328284.1885672</v>
      </c>
      <c r="E633" s="7">
        <f>D633-D545</f>
        <v>95.5223236083984</v>
      </c>
      <c r="F633" s="9">
        <v>2014</v>
      </c>
      <c r="G633" s="5">
        <f>(F633-F632)/$G$2/(D633-D632)*100</f>
        <v>12.2717670113204</v>
      </c>
    </row>
    <row r="634" spans="1:7" x14ac:dyDescent="0.25">
      <c r="A634" s="2">
        <v>4</v>
      </c>
      <c r="B634" s="2" t="s">
        <v>45</v>
      </c>
      <c r="C634" s="2">
        <v>90</v>
      </c>
      <c r="D634" s="11">
        <v>1791328285.2942755</v>
      </c>
      <c r="E634" s="7">
        <f>D634-D545</f>
        <v>96.6280319690704</v>
      </c>
      <c r="F634" s="9">
        <v>2040</v>
      </c>
      <c r="G634" s="5">
        <f>(F634-F633)/$G$2/(D634-D633)*100</f>
        <v>23.5143378894218</v>
      </c>
    </row>
    <row r="635" spans="1:7" x14ac:dyDescent="0.25">
      <c r="A635" s="2">
        <v>4</v>
      </c>
      <c r="B635" s="2" t="s">
        <v>45</v>
      </c>
      <c r="C635" s="2">
        <v>91</v>
      </c>
      <c r="D635" s="11">
        <v>1791328286.4379382</v>
      </c>
      <c r="E635" s="7">
        <f>D635-D545</f>
        <v>97.7716946601868</v>
      </c>
      <c r="F635" s="9">
        <v>2052</v>
      </c>
      <c r="G635" s="5">
        <f>(F635-F634)/$G$2/(D635-D634)*100</f>
        <v>10.4926042383063</v>
      </c>
    </row>
    <row r="636" spans="1:7" x14ac:dyDescent="0.25">
      <c r="A636" s="2">
        <v>4</v>
      </c>
      <c r="B636" s="2" t="s">
        <v>45</v>
      </c>
      <c r="C636" s="2">
        <v>92</v>
      </c>
      <c r="D636" s="11">
        <v>1791328287.4956062</v>
      </c>
      <c r="E636" s="7">
        <f>D636-D545</f>
        <v>98.8293626308441</v>
      </c>
      <c r="F636" s="9">
        <v>2064</v>
      </c>
      <c r="G636" s="5">
        <f>(F636-F635)/$G$2/(D636-D635)*100</f>
        <v>11.3457156053822</v>
      </c>
    </row>
    <row r="637" spans="1:7" x14ac:dyDescent="0.25">
      <c r="A637" s="2">
        <v>4</v>
      </c>
      <c r="B637" s="2" t="s">
        <v>45</v>
      </c>
      <c r="C637" s="2">
        <v>93</v>
      </c>
      <c r="D637" s="11">
        <v>1791328288.590724</v>
      </c>
      <c r="E637" s="7">
        <f>D637-D545</f>
        <v>99.9244804382324</v>
      </c>
      <c r="F637" s="9">
        <v>2075</v>
      </c>
      <c r="G637" s="5">
        <f>(F637-F636)/$G$2/(D637-D636)*100</f>
        <v>10.044581437529</v>
      </c>
    </row>
    <row r="638" spans="1:7" x14ac:dyDescent="0.25">
      <c r="A638" s="2">
        <v>4</v>
      </c>
      <c r="B638" s="2" t="s">
        <v>45</v>
      </c>
      <c r="C638" s="2">
        <v>94</v>
      </c>
      <c r="D638" s="11">
        <v>1791328289.6549509</v>
      </c>
      <c r="E638" s="7">
        <f>D638-D545</f>
        <v>100.988707304001</v>
      </c>
      <c r="F638" s="9">
        <v>2086</v>
      </c>
      <c r="G638" s="5">
        <f>(F638-F637)/$G$2/(D638-D637)*100</f>
        <v>10.3361419954921</v>
      </c>
    </row>
    <row r="639" spans="1:7" x14ac:dyDescent="0.25">
      <c r="A639" s="2">
        <v>4</v>
      </c>
      <c r="B639" s="2" t="s">
        <v>45</v>
      </c>
      <c r="C639" s="2">
        <v>95</v>
      </c>
      <c r="D639" s="11">
        <v>1791328290.7545266</v>
      </c>
      <c r="E639" s="7">
        <f>D639-D545</f>
        <v>102.088283061981</v>
      </c>
      <c r="F639" s="9">
        <v>2099</v>
      </c>
      <c r="G639" s="5">
        <f>(F639-F638)/$G$2/(D639-D638)*100</f>
        <v>11.8227415488659</v>
      </c>
    </row>
    <row r="640" spans="1:7" x14ac:dyDescent="0.25">
      <c r="A640" s="2">
        <v>4</v>
      </c>
      <c r="B640" s="2" t="s">
        <v>45</v>
      </c>
      <c r="C640" s="2">
        <v>96</v>
      </c>
      <c r="D640" s="11">
        <v>1791328291.862166</v>
      </c>
      <c r="E640" s="7">
        <f>D640-D545</f>
        <v>103.195922374725</v>
      </c>
      <c r="F640" s="9">
        <v>2111</v>
      </c>
      <c r="G640" s="5">
        <f>(F640-F639)/$G$2/(D640-D639)*100</f>
        <v>10.8338516536312</v>
      </c>
    </row>
    <row r="641" spans="1:7" x14ac:dyDescent="0.25">
      <c r="A641" s="2">
        <v>4</v>
      </c>
      <c r="B641" s="2" t="s">
        <v>45</v>
      </c>
      <c r="C641" s="2">
        <v>97</v>
      </c>
      <c r="D641" s="11">
        <v>1791328292.9670062</v>
      </c>
      <c r="E641" s="7">
        <f>D641-D545</f>
        <v>104.300762653351</v>
      </c>
      <c r="F641" s="9">
        <v>2128</v>
      </c>
      <c r="G641" s="5">
        <f>(F641-F640)/$G$2/(D641-D640)*100</f>
        <v>15.3868394634828</v>
      </c>
    </row>
    <row r="642" spans="1:7" x14ac:dyDescent="0.25">
      <c r="A642" s="2">
        <v>4</v>
      </c>
      <c r="B642" s="2" t="s">
        <v>45</v>
      </c>
      <c r="C642" s="2">
        <v>98</v>
      </c>
      <c r="D642" s="11">
        <v>1791328294.0454955</v>
      </c>
      <c r="E642" s="7">
        <f>D642-D545</f>
        <v>105.37925195694</v>
      </c>
      <c r="F642" s="9">
        <v>2138</v>
      </c>
      <c r="G642" s="5">
        <f>(F642-F641)/$G$2/(D642-D641)*100</f>
        <v>9.27222918829441</v>
      </c>
    </row>
    <row r="643" spans="1:7" x14ac:dyDescent="0.25">
      <c r="A643" s="2">
        <v>4</v>
      </c>
      <c r="B643" s="2" t="s">
        <v>45</v>
      </c>
      <c r="C643" s="2">
        <v>99</v>
      </c>
      <c r="D643" s="11">
        <v>1791328295.1089098</v>
      </c>
      <c r="E643" s="7">
        <f>D643-D545</f>
        <v>106.442666292191</v>
      </c>
      <c r="F643" s="9">
        <v>2147</v>
      </c>
      <c r="G643" s="5">
        <f>(F643-F642)/$G$2/(D643-D642)*100</f>
        <v>8.46330513108697</v>
      </c>
    </row>
    <row r="644" spans="1:7" x14ac:dyDescent="0.25">
      <c r="A644" s="2">
        <v>4</v>
      </c>
      <c r="B644" s="2" t="s">
        <v>45</v>
      </c>
      <c r="C644" s="2">
        <v>100</v>
      </c>
      <c r="D644" s="11">
        <v>1791328296.2121289</v>
      </c>
      <c r="E644" s="7">
        <f>D644-D545</f>
        <v>107.545885324478</v>
      </c>
      <c r="F644" s="9">
        <v>2156</v>
      </c>
      <c r="G644" s="5">
        <f>(F644-F643)/$G$2/(D644-D643)*100</f>
        <v>8.15794482926741</v>
      </c>
    </row>
    <row r="645" spans="1:7" x14ac:dyDescent="0.25">
      <c r="A645" s="2">
        <v>4</v>
      </c>
      <c r="B645" s="2" t="s">
        <v>45</v>
      </c>
      <c r="C645" s="2">
        <v>101</v>
      </c>
      <c r="D645" s="11">
        <v>1791328297.3492231</v>
      </c>
      <c r="E645" s="7">
        <f>D645-D545</f>
        <v>108.68297958374</v>
      </c>
      <c r="F645" s="9">
        <v>2188</v>
      </c>
      <c r="G645" s="5">
        <f>(F645-F644)/$G$2/(D645-D644)*100</f>
        <v>28.1419062134447</v>
      </c>
    </row>
    <row r="646" spans="1:7" x14ac:dyDescent="0.25">
      <c r="A646" s="2">
        <v>4</v>
      </c>
      <c r="B646" s="2" t="s">
        <v>45</v>
      </c>
      <c r="C646" s="2">
        <v>102</v>
      </c>
      <c r="D646" s="11">
        <v>1791328298.429166</v>
      </c>
      <c r="E646" s="7">
        <f>D646-D545</f>
        <v>109.762922525406</v>
      </c>
      <c r="F646" s="9">
        <v>2202</v>
      </c>
      <c r="G646" s="5">
        <f>(F646-F645)/$G$2/(D646-D645)*100</f>
        <v>12.9636478556979</v>
      </c>
    </row>
    <row r="647" spans="1:7" x14ac:dyDescent="0.25">
      <c r="A647" s="2">
        <v>4</v>
      </c>
      <c r="B647" s="2" t="s">
        <v>45</v>
      </c>
      <c r="C647" s="2">
        <v>103</v>
      </c>
      <c r="D647" s="11">
        <v>1791328299.5382545</v>
      </c>
      <c r="E647" s="7">
        <f>D647-D545</f>
        <v>110.872010946274</v>
      </c>
      <c r="F647" s="9">
        <v>2214</v>
      </c>
      <c r="G647" s="5">
        <f>(F647-F646)/$G$2/(D647-D646)*100</f>
        <v>10.8196964049173</v>
      </c>
    </row>
    <row r="648" spans="1:7" x14ac:dyDescent="0.25">
      <c r="A648" s="2">
        <v>4</v>
      </c>
      <c r="B648" s="2" t="s">
        <v>45</v>
      </c>
      <c r="C648" s="2">
        <v>104</v>
      </c>
      <c r="D648" s="11">
        <v>1791328300.622264</v>
      </c>
      <c r="E648" s="7">
        <f>D648-D545</f>
        <v>111.956020355225</v>
      </c>
      <c r="F648" s="9">
        <v>2227</v>
      </c>
      <c r="G648" s="5">
        <f>(F648-F647)/$G$2/(D648-D647)*100</f>
        <v>11.9925158330337</v>
      </c>
    </row>
    <row r="649" spans="1:7" x14ac:dyDescent="0.25">
      <c r="A649" s="2">
        <v>4</v>
      </c>
      <c r="B649" s="2" t="s">
        <v>45</v>
      </c>
      <c r="C649" s="2">
        <v>105</v>
      </c>
      <c r="D649" s="11">
        <v>1791328301.706646</v>
      </c>
      <c r="E649" s="7">
        <f>D649-D545</f>
        <v>113.040402412415</v>
      </c>
      <c r="F649" s="9">
        <v>2239</v>
      </c>
      <c r="G649" s="5">
        <f>(F649-F648)/$G$2/(D649-D648)*100</f>
        <v>11.0662104010617</v>
      </c>
    </row>
    <row r="650" spans="1:7" x14ac:dyDescent="0.25">
      <c r="A650" s="2">
        <v>4</v>
      </c>
      <c r="B650" s="2" t="s">
        <v>45</v>
      </c>
      <c r="C650" s="2">
        <v>106</v>
      </c>
      <c r="D650" s="11">
        <v>1791328302.812046</v>
      </c>
      <c r="E650" s="7">
        <f>D650-D545</f>
        <v>114.145802497864</v>
      </c>
      <c r="F650" s="9">
        <v>2251</v>
      </c>
      <c r="G650" s="5">
        <f>(F650-F649)/$G$2/(D650-D649)*100</f>
        <v>10.8557979666913</v>
      </c>
    </row>
    <row r="651" spans="1:7" x14ac:dyDescent="0.25">
      <c r="A651" s="2">
        <v>4</v>
      </c>
      <c r="B651" s="2" t="s">
        <v>45</v>
      </c>
      <c r="C651" s="2">
        <v>107</v>
      </c>
      <c r="D651" s="11">
        <v>1791328303.9169312</v>
      </c>
      <c r="E651" s="7">
        <f>D651-D545</f>
        <v>115.250687599182</v>
      </c>
      <c r="F651" s="9">
        <v>2264</v>
      </c>
      <c r="G651" s="5">
        <f>(F651-F650)/$G$2/(D651-D650)*100</f>
        <v>11.7659293120056</v>
      </c>
    </row>
    <row r="652" spans="1:7" x14ac:dyDescent="0.25">
      <c r="A652" s="2">
        <v>4</v>
      </c>
      <c r="B652" s="2" t="s">
        <v>45</v>
      </c>
      <c r="C652" s="2">
        <v>108</v>
      </c>
      <c r="D652" s="11">
        <v>1791328305.0192742</v>
      </c>
      <c r="E652" s="7">
        <f>D652-D545</f>
        <v>116.35303068161</v>
      </c>
      <c r="F652" s="9">
        <v>2275</v>
      </c>
      <c r="G652" s="5">
        <f>(F652-F651)/$G$2/(D652-D651)*100</f>
        <v>9.97874452640627</v>
      </c>
    </row>
    <row r="653" spans="1:7" x14ac:dyDescent="0.25">
      <c r="A653" s="2">
        <v>4</v>
      </c>
      <c r="B653" s="2" t="s">
        <v>45</v>
      </c>
      <c r="C653" s="2">
        <v>109</v>
      </c>
      <c r="D653" s="11">
        <v>1791328306.1237903</v>
      </c>
      <c r="E653" s="7">
        <f>D653-D545</f>
        <v>117.457546710968</v>
      </c>
      <c r="F653" s="9">
        <v>2286</v>
      </c>
      <c r="G653" s="5">
        <f>(F653-F652)/$G$2/(D653-D652)*100</f>
        <v>9.95911304826843</v>
      </c>
    </row>
    <row r="654" spans="1:7" x14ac:dyDescent="0.25">
      <c r="A654" s="2">
        <v>4</v>
      </c>
      <c r="B654" s="2" t="s">
        <v>45</v>
      </c>
      <c r="C654" s="2">
        <v>110</v>
      </c>
      <c r="D654" s="11">
        <v>1791328307.18023</v>
      </c>
      <c r="E654" s="7">
        <f>D654-D545</f>
        <v>118.513986349106</v>
      </c>
      <c r="F654" s="9">
        <v>2297</v>
      </c>
      <c r="G654" s="5">
        <f>(F654-F653)/$G$2/(D654-D653)*100</f>
        <v>10.4123317631187</v>
      </c>
    </row>
    <row r="655" spans="1:7" x14ac:dyDescent="0.25">
      <c r="A655" s="2">
        <v>4</v>
      </c>
      <c r="B655" s="2" t="s">
        <v>45</v>
      </c>
      <c r="C655" s="2">
        <v>111</v>
      </c>
      <c r="D655" s="11">
        <v>1791328308.2392273</v>
      </c>
      <c r="E655" s="7">
        <f>D655-D545</f>
        <v>119.57298374176</v>
      </c>
      <c r="F655" s="9">
        <v>2313</v>
      </c>
      <c r="G655" s="5">
        <f>(F655-F654)/$G$2/(D655-D654)*100</f>
        <v>15.1086302109728</v>
      </c>
    </row>
    <row r="656" spans="1:7" x14ac:dyDescent="0.25">
      <c r="A656" s="2">
        <v>4</v>
      </c>
      <c r="B656" s="2" t="s">
        <v>45</v>
      </c>
      <c r="C656" s="2">
        <v>112</v>
      </c>
      <c r="D656" s="11">
        <v>1791328309.3240998</v>
      </c>
      <c r="E656" s="7">
        <f>D656-D545</f>
        <v>120.657856225967</v>
      </c>
      <c r="F656" s="9">
        <v>2336</v>
      </c>
      <c r="G656" s="5">
        <f>(F656-F655)/$G$2/(D656-D655)*100</f>
        <v>21.2006483110399</v>
      </c>
    </row>
    <row r="657" spans="1:7" x14ac:dyDescent="0.25">
      <c r="A657" s="2">
        <v>4</v>
      </c>
      <c r="B657" s="2" t="s">
        <v>45</v>
      </c>
      <c r="C657" s="2">
        <v>113</v>
      </c>
      <c r="D657" s="11">
        <v>1791328310.4227784</v>
      </c>
      <c r="E657" s="7">
        <f>D657-D545</f>
        <v>121.756534814835</v>
      </c>
      <c r="F657" s="9">
        <v>2349</v>
      </c>
      <c r="G657" s="5">
        <f>(F657-F656)/$G$2/(D657-D656)*100</f>
        <v>11.8323958723942</v>
      </c>
    </row>
    <row r="658" spans="1:7" x14ac:dyDescent="0.25">
      <c r="A658" s="2">
        <v>4</v>
      </c>
      <c r="B658" s="2" t="s">
        <v>45</v>
      </c>
      <c r="C658" s="2">
        <v>114</v>
      </c>
      <c r="D658" s="11">
        <v>1791328311.5284183</v>
      </c>
      <c r="E658" s="7">
        <f>D658-D545</f>
        <v>122.862174749374</v>
      </c>
      <c r="F658" s="9">
        <v>2355</v>
      </c>
      <c r="G658" s="5">
        <f>(F658-F657)/$G$2/(D658-D657)*100</f>
        <v>5.42672149635894</v>
      </c>
    </row>
    <row r="659" spans="1:7" x14ac:dyDescent="0.25">
      <c r="A659" s="2">
        <v>4</v>
      </c>
      <c r="B659" s="2" t="s">
        <v>45</v>
      </c>
      <c r="C659" s="2">
        <v>115</v>
      </c>
      <c r="D659" s="11">
        <v>1791328312.6151671</v>
      </c>
      <c r="E659" s="7">
        <f>D659-D545</f>
        <v>123.948923587799</v>
      </c>
      <c r="F659" s="9">
        <v>2367</v>
      </c>
      <c r="G659" s="5">
        <f>(F659-F658)/$G$2/(D659-D658)*100</f>
        <v>11.042109801005</v>
      </c>
    </row>
    <row r="660" spans="1:7" x14ac:dyDescent="0.25">
      <c r="A660" s="2">
        <v>4</v>
      </c>
      <c r="B660" s="2" t="s">
        <v>45</v>
      </c>
      <c r="C660" s="2">
        <v>116</v>
      </c>
      <c r="D660" s="11">
        <v>1791328313.715464</v>
      </c>
      <c r="E660" s="7">
        <f>D660-D545</f>
        <v>125.049220561981</v>
      </c>
      <c r="F660" s="9">
        <v>2385</v>
      </c>
      <c r="G660" s="5">
        <f>(F660-F659)/$G$2/(D660-D659)*100</f>
        <v>16.3592197582655</v>
      </c>
    </row>
    <row r="661" spans="1:7" x14ac:dyDescent="0.25">
      <c r="A661" s="2">
        <v>4</v>
      </c>
      <c r="B661" s="2" t="s">
        <v>45</v>
      </c>
      <c r="C661" s="2">
        <v>117</v>
      </c>
      <c r="D661" s="11">
        <v>1791328314.825644</v>
      </c>
      <c r="E661" s="7">
        <f>D661-D545</f>
        <v>126.159400463104</v>
      </c>
      <c r="F661" s="9">
        <v>2396</v>
      </c>
      <c r="G661" s="5">
        <f>(F661-F660)/$G$2/(D661-D660)*100</f>
        <v>9.90830404051858</v>
      </c>
    </row>
    <row r="662" spans="1:7" x14ac:dyDescent="0.25">
      <c r="A662" s="2">
        <v>4</v>
      </c>
      <c r="B662" s="2" t="s">
        <v>45</v>
      </c>
      <c r="C662" s="2">
        <v>118</v>
      </c>
      <c r="D662" s="11">
        <v>1791328315.910756</v>
      </c>
      <c r="E662" s="7">
        <f>D662-D545</f>
        <v>127.244512557983</v>
      </c>
      <c r="F662" s="9">
        <v>2408</v>
      </c>
      <c r="G662" s="5">
        <f>(F662-F661)/$G$2/(D662-D661)*100</f>
        <v>11.0587653170859</v>
      </c>
    </row>
    <row r="663" spans="1:7" x14ac:dyDescent="0.25">
      <c r="A663" s="2">
        <v>4</v>
      </c>
      <c r="B663" s="2" t="s">
        <v>45</v>
      </c>
      <c r="C663" s="2">
        <v>119</v>
      </c>
      <c r="D663" s="11">
        <v>1791328317.0116374</v>
      </c>
      <c r="E663" s="7">
        <f>D663-D545</f>
        <v>128.345393896103</v>
      </c>
      <c r="F663" s="9">
        <v>2421</v>
      </c>
      <c r="G663" s="5">
        <f>(F663-F662)/$G$2/(D663-D662)*100</f>
        <v>11.8087204768193</v>
      </c>
    </row>
    <row r="664" spans="1:7" x14ac:dyDescent="0.25">
      <c r="A664" s="2">
        <v>4</v>
      </c>
      <c r="B664" s="2" t="s">
        <v>45</v>
      </c>
      <c r="C664" s="2">
        <v>120</v>
      </c>
      <c r="D664" s="11">
        <v>1791328318.1157706</v>
      </c>
      <c r="E664" s="7">
        <f>D664-D545</f>
        <v>129.449527025223</v>
      </c>
      <c r="F664" s="9">
        <v>2433</v>
      </c>
      <c r="G664" s="5">
        <f>(F664-F663)/$G$2/(D664-D663)*100</f>
        <v>10.8682546366175</v>
      </c>
    </row>
    <row r="665" spans="1:7" x14ac:dyDescent="0.25">
      <c r="A665" s="2">
        <v>4</v>
      </c>
      <c r="B665" s="2" t="s">
        <v>45</v>
      </c>
      <c r="C665" s="2">
        <v>121</v>
      </c>
      <c r="D665" s="11">
        <v>1791328319.2033505</v>
      </c>
      <c r="E665" s="7">
        <f>D665-D545</f>
        <v>130.537106990814</v>
      </c>
      <c r="F665" s="9">
        <v>2444</v>
      </c>
      <c r="G665" s="5">
        <f>(F665-F664)/$G$2/(D665-D664)*100</f>
        <v>10.1141988157332</v>
      </c>
    </row>
    <row r="666" spans="1:7" x14ac:dyDescent="0.25">
      <c r="A666" s="2">
        <v>4</v>
      </c>
      <c r="B666" s="2" t="s">
        <v>45</v>
      </c>
      <c r="C666" s="2">
        <v>122</v>
      </c>
      <c r="D666" s="11">
        <v>1791328320.281054</v>
      </c>
      <c r="E666" s="7">
        <f>D666-D545</f>
        <v>131.614810466766</v>
      </c>
      <c r="F666" s="9">
        <v>2446</v>
      </c>
      <c r="G666" s="5">
        <f>(F666-F665)/$G$2/(D666-D665)*100</f>
        <v>1.85579804150952</v>
      </c>
    </row>
    <row r="667" spans="1:7" x14ac:dyDescent="0.25">
      <c r="A667" s="2">
        <v>4</v>
      </c>
      <c r="B667" s="2" t="s">
        <v>45</v>
      </c>
      <c r="C667" s="2">
        <v>123</v>
      </c>
      <c r="D667" s="11">
        <v>1791328321.3342495</v>
      </c>
      <c r="E667" s="7">
        <f>D667-D545</f>
        <v>132.668005943298</v>
      </c>
      <c r="F667" s="9">
        <v>2467</v>
      </c>
      <c r="G667" s="5">
        <f>(F667-F666)/$G$2/(D667-D666)*100</f>
        <v>19.9393184531611</v>
      </c>
    </row>
    <row r="668" spans="1:7" x14ac:dyDescent="0.25">
      <c r="A668" s="2">
        <v>4</v>
      </c>
      <c r="B668" s="2" t="s">
        <v>45</v>
      </c>
      <c r="C668" s="2">
        <v>124</v>
      </c>
      <c r="D668" s="11">
        <v>1791328322.3876975</v>
      </c>
      <c r="E668" s="7">
        <f>D668-D545</f>
        <v>133.721453905106</v>
      </c>
      <c r="F668" s="9">
        <v>2472</v>
      </c>
      <c r="G668" s="5">
        <f>(F668-F667)/$G$2/(D668-D667)*100</f>
        <v>4.74631892725124</v>
      </c>
    </row>
    <row r="669" spans="1:7" x14ac:dyDescent="0.25">
      <c r="A669" s="2">
        <v>4</v>
      </c>
      <c r="B669" s="2" t="s">
        <v>45</v>
      </c>
      <c r="C669" s="2">
        <v>125</v>
      </c>
      <c r="D669" s="11">
        <v>1791328323.426353</v>
      </c>
      <c r="E669" s="7">
        <f>D669-D545</f>
        <v>134.760109424591</v>
      </c>
      <c r="F669" s="9">
        <v>2481</v>
      </c>
      <c r="G669" s="5">
        <f>(F669-F668)/$G$2/(D669-D668)*100</f>
        <v>8.66504806565549</v>
      </c>
    </row>
    <row r="670" spans="1:7" x14ac:dyDescent="0.25">
      <c r="A670" s="2">
        <v>4</v>
      </c>
      <c r="B670" s="2" t="s">
        <v>45</v>
      </c>
      <c r="C670" s="2">
        <v>126</v>
      </c>
      <c r="D670" s="11">
        <v>1791328324.4804366</v>
      </c>
      <c r="E670" s="7">
        <f>D670-D545</f>
        <v>135.81419301033</v>
      </c>
      <c r="F670" s="9">
        <v>2486</v>
      </c>
      <c r="G670" s="5">
        <f>(F670-F669)/$G$2/(D670-D669)*100</f>
        <v>4.74345684502234</v>
      </c>
    </row>
    <row r="671" spans="1:7" x14ac:dyDescent="0.25">
      <c r="A671" s="2">
        <v>4</v>
      </c>
      <c r="B671" s="2" t="s">
        <v>45</v>
      </c>
      <c r="C671" s="2">
        <v>127</v>
      </c>
      <c r="D671" s="11">
        <v>1791328325.5298562</v>
      </c>
      <c r="E671" s="7">
        <f>D671-D545</f>
        <v>136.863612651825</v>
      </c>
      <c r="F671" s="9">
        <v>2490</v>
      </c>
      <c r="G671" s="5">
        <f>(F671-F670)/$G$2/(D671-D670)*100</f>
        <v>3.81163058307405</v>
      </c>
    </row>
    <row r="672" spans="1:7" x14ac:dyDescent="0.25">
      <c r="A672" s="2">
        <v>4</v>
      </c>
      <c r="B672" s="2" t="s">
        <v>45</v>
      </c>
      <c r="C672" s="2">
        <v>128</v>
      </c>
      <c r="D672" s="11">
        <v>1791328326.5998757</v>
      </c>
      <c r="E672" s="7">
        <f>D672-D545</f>
        <v>137.933632135391</v>
      </c>
      <c r="F672" s="9">
        <v>2495</v>
      </c>
      <c r="G672" s="5">
        <f>(F672-F671)/$G$2/(D672-D671)*100</f>
        <v>4.67281210930424</v>
      </c>
    </row>
    <row r="673" spans="1:7" x14ac:dyDescent="0.25">
      <c r="A673" s="2">
        <v>4</v>
      </c>
      <c r="B673" s="2" t="s">
        <v>45</v>
      </c>
      <c r="C673" s="2">
        <v>129</v>
      </c>
      <c r="D673" s="11">
        <v>1791328327.6399982</v>
      </c>
      <c r="E673" s="7">
        <f>D673-D545</f>
        <v>138.973754644394</v>
      </c>
      <c r="F673" s="9">
        <v>2499</v>
      </c>
      <c r="G673" s="5">
        <f>(F673-F672)/$G$2/(D673-D672)*100</f>
        <v>3.84570083367908</v>
      </c>
    </row>
    <row r="674" spans="1:7" x14ac:dyDescent="0.25">
      <c r="A674" s="2">
        <v>4</v>
      </c>
      <c r="B674" s="2" t="s">
        <v>45</v>
      </c>
      <c r="C674" s="2">
        <v>130</v>
      </c>
      <c r="D674" s="11">
        <v>1791328328.6971548</v>
      </c>
      <c r="E674" s="7">
        <f>D674-D545</f>
        <v>140.030911207199</v>
      </c>
      <c r="F674" s="9">
        <v>2506</v>
      </c>
      <c r="G674" s="5">
        <f>(F674-F673)/$G$2/(D674-D673)*100</f>
        <v>6.62153577463061</v>
      </c>
    </row>
    <row r="675" spans="1:7" x14ac:dyDescent="0.25">
      <c r="A675" s="2">
        <v>4</v>
      </c>
      <c r="B675" s="2" t="s">
        <v>45</v>
      </c>
      <c r="C675" s="2">
        <v>131</v>
      </c>
      <c r="D675" s="11">
        <v>1791328329.7816632</v>
      </c>
      <c r="E675" s="7">
        <f>D675-D545</f>
        <v>141.115419626236</v>
      </c>
      <c r="F675" s="9">
        <v>2515</v>
      </c>
      <c r="G675" s="5">
        <f>(F675-F674)/$G$2/(D675-D674)*100</f>
        <v>8.29869076350072</v>
      </c>
    </row>
    <row r="676" spans="1:7" x14ac:dyDescent="0.25">
      <c r="A676" s="2">
        <v>4</v>
      </c>
      <c r="B676" s="2" t="s">
        <v>45</v>
      </c>
      <c r="C676" s="2">
        <v>132</v>
      </c>
      <c r="D676" s="11">
        <v>1791328330.8417253</v>
      </c>
      <c r="E676" s="7">
        <f>D676-D545</f>
        <v>142.175481796265</v>
      </c>
      <c r="F676" s="9">
        <v>2525</v>
      </c>
      <c r="G676" s="5">
        <f>(F676-F675)/$G$2/(D676-D675)*100</f>
        <v>9.4334089855592</v>
      </c>
    </row>
    <row r="677" spans="1:7" x14ac:dyDescent="0.25">
      <c r="A677" s="2">
        <v>4</v>
      </c>
      <c r="B677" s="2" t="s">
        <v>45</v>
      </c>
      <c r="C677" s="2">
        <v>133</v>
      </c>
      <c r="D677" s="11">
        <v>1791328331.9301264</v>
      </c>
      <c r="E677" s="7">
        <f>D677-D545</f>
        <v>143.263882875443</v>
      </c>
      <c r="F677" s="9">
        <v>2535</v>
      </c>
      <c r="G677" s="5">
        <f>(F677-F676)/$G$2/(D677-D676)*100</f>
        <v>9.18778949351436</v>
      </c>
    </row>
    <row r="678" spans="1:7" x14ac:dyDescent="0.25">
      <c r="A678" s="2">
        <v>4</v>
      </c>
      <c r="B678" s="2" t="s">
        <v>45</v>
      </c>
      <c r="C678" s="2">
        <v>134</v>
      </c>
      <c r="D678" s="11">
        <v>1791328333.0299883</v>
      </c>
      <c r="E678" s="7">
        <f>D678-D545</f>
        <v>144.363744735718</v>
      </c>
      <c r="F678" s="9">
        <v>2550</v>
      </c>
      <c r="G678" s="5">
        <f>(F678-F677)/$G$2/(D678-D677)*100</f>
        <v>13.6380763273725</v>
      </c>
    </row>
    <row r="679" spans="1:7" x14ac:dyDescent="0.25">
      <c r="A679" s="2">
        <v>4</v>
      </c>
      <c r="B679" s="2" t="s">
        <v>45</v>
      </c>
      <c r="C679" s="2">
        <v>135</v>
      </c>
      <c r="D679" s="11">
        <v>1791328334.1365218</v>
      </c>
      <c r="E679" s="7">
        <f>D679-D545</f>
        <v>145.470278263092</v>
      </c>
      <c r="F679" s="9">
        <v>2576</v>
      </c>
      <c r="G679" s="5">
        <f>(F679-F678)/$G$2/(D679-D678)*100</f>
        <v>23.4968027238147</v>
      </c>
    </row>
    <row r="680" spans="1:7" x14ac:dyDescent="0.25">
      <c r="A680" s="2">
        <v>4</v>
      </c>
      <c r="B680" s="2" t="s">
        <v>45</v>
      </c>
      <c r="C680" s="2">
        <v>136</v>
      </c>
      <c r="D680" s="11">
        <v>1791328335.2414181</v>
      </c>
      <c r="E680" s="7">
        <f>D680-D545</f>
        <v>146.575174570084</v>
      </c>
      <c r="F680" s="9">
        <v>2588</v>
      </c>
      <c r="G680" s="5">
        <f>(F680-F679)/$G$2/(D680-D679)*100</f>
        <v>10.8607476774664</v>
      </c>
    </row>
    <row r="681" spans="1:7" x14ac:dyDescent="0.25">
      <c r="A681" s="2">
        <v>4</v>
      </c>
      <c r="B681" s="2" t="s">
        <v>45</v>
      </c>
      <c r="C681" s="2">
        <v>137</v>
      </c>
      <c r="D681" s="11">
        <v>1791328336.3214226</v>
      </c>
      <c r="E681" s="7">
        <f>D681-D545</f>
        <v>147.655179023743</v>
      </c>
      <c r="F681" s="9">
        <v>2599</v>
      </c>
      <c r="G681" s="5">
        <f>(F681-F680)/$G$2/(D681-D680)*100</f>
        <v>10.1851431841156</v>
      </c>
    </row>
    <row r="682" spans="1:7" x14ac:dyDescent="0.25">
      <c r="A682" s="2">
        <v>4</v>
      </c>
      <c r="B682" s="2" t="s">
        <v>45</v>
      </c>
      <c r="C682" s="2">
        <v>138</v>
      </c>
      <c r="D682" s="11">
        <v>1791328337.4297206</v>
      </c>
      <c r="E682" s="7">
        <f>D682-D545</f>
        <v>148.763477087021</v>
      </c>
      <c r="F682" s="9">
        <v>2612</v>
      </c>
      <c r="G682" s="5">
        <f>(F682-F681)/$G$2/(D682-D681)*100</f>
        <v>11.729696577785</v>
      </c>
    </row>
    <row r="683" spans="1:7" x14ac:dyDescent="0.25">
      <c r="A683" s="2">
        <v>4</v>
      </c>
      <c r="B683" s="2" t="s">
        <v>45</v>
      </c>
      <c r="C683" s="2">
        <v>139</v>
      </c>
      <c r="D683" s="11">
        <v>1791328338.5374246</v>
      </c>
      <c r="E683" s="7">
        <f>D683-D545</f>
        <v>149.8711810112</v>
      </c>
      <c r="F683" s="9">
        <v>2631</v>
      </c>
      <c r="G683" s="5">
        <f>(F683-F682)/$G$2/(D683-D682)*100</f>
        <v>17.1525978966636</v>
      </c>
    </row>
    <row r="684" spans="1:7" x14ac:dyDescent="0.25">
      <c r="A684" s="2">
        <v>4</v>
      </c>
      <c r="B684" s="2" t="s">
        <v>45</v>
      </c>
      <c r="C684" s="2">
        <v>140</v>
      </c>
      <c r="D684" s="11">
        <v>1791328339.6057723</v>
      </c>
      <c r="E684" s="7">
        <f>D684-D545</f>
        <v>150.93952870369</v>
      </c>
      <c r="F684" s="9">
        <v>2643</v>
      </c>
      <c r="G684" s="5">
        <f>(F684-F683)/$G$2/(D684-D683)*100</f>
        <v>11.2322983279309</v>
      </c>
    </row>
    <row r="685" spans="1:7" x14ac:dyDescent="0.25">
      <c r="A685" s="2">
        <v>4</v>
      </c>
      <c r="B685" s="2" t="s">
        <v>45</v>
      </c>
      <c r="C685" s="2">
        <v>141</v>
      </c>
      <c r="D685" s="11">
        <v>1791328340.6919727</v>
      </c>
      <c r="E685" s="7">
        <f>D685-D545</f>
        <v>152.025729179382</v>
      </c>
      <c r="F685" s="9">
        <v>2651</v>
      </c>
      <c r="G685" s="5">
        <f>(F685-F684)/$G$2/(D685-D684)*100</f>
        <v>7.36512290228728</v>
      </c>
    </row>
    <row r="686" spans="1:7" x14ac:dyDescent="0.25">
      <c r="A686" s="2">
        <v>4</v>
      </c>
      <c r="B686" s="2" t="s">
        <v>45</v>
      </c>
      <c r="C686" s="2">
        <v>142</v>
      </c>
      <c r="D686" s="11">
        <v>1791328341.7924392</v>
      </c>
      <c r="E686" s="7">
        <f>D686-D545</f>
        <v>153.126195669174</v>
      </c>
      <c r="F686" s="9">
        <v>2664</v>
      </c>
      <c r="G686" s="5">
        <f>(F686-F685)/$G$2/(D686-D685)*100</f>
        <v>11.8131720689275</v>
      </c>
    </row>
    <row r="687" spans="1:7" x14ac:dyDescent="0.25">
      <c r="A687" s="2">
        <v>4</v>
      </c>
      <c r="B687" s="2" t="s">
        <v>45</v>
      </c>
      <c r="C687" s="2">
        <v>143</v>
      </c>
      <c r="D687" s="11">
        <v>1791328342.9013824</v>
      </c>
      <c r="E687" s="7">
        <f>D687-D545</f>
        <v>154.235138893127</v>
      </c>
      <c r="F687" s="9">
        <v>2679</v>
      </c>
      <c r="G687" s="5">
        <f>(F687-F686)/$G$2/(D687-D686)*100</f>
        <v>13.5263913210334</v>
      </c>
    </row>
    <row r="688" spans="1:7" x14ac:dyDescent="0.25">
      <c r="A688" s="2">
        <v>4</v>
      </c>
      <c r="B688" s="2" t="s">
        <v>45</v>
      </c>
      <c r="C688" s="2">
        <v>144</v>
      </c>
      <c r="D688" s="11">
        <v>1791328343.9850569</v>
      </c>
      <c r="E688" s="7">
        <f>D688-D545</f>
        <v>155.318813323975</v>
      </c>
      <c r="F688" s="9">
        <v>2691</v>
      </c>
      <c r="G688" s="5">
        <f>(F688-F687)/$G$2/(D688-D687)*100</f>
        <v>11.0734365030823</v>
      </c>
    </row>
    <row r="689" spans="1:7" x14ac:dyDescent="0.25">
      <c r="A689" s="2">
        <v>4</v>
      </c>
      <c r="B689" s="2" t="s">
        <v>45</v>
      </c>
      <c r="C689" s="2">
        <v>145</v>
      </c>
      <c r="D689" s="11">
        <v>1791328345.0664217</v>
      </c>
      <c r="E689" s="7">
        <f>D689-D545</f>
        <v>156.400178194046</v>
      </c>
      <c r="F689" s="9">
        <v>2708</v>
      </c>
      <c r="G689" s="5">
        <f>(F689-F688)/$G$2/(D689-D688)*100</f>
        <v>15.7208731950737</v>
      </c>
    </row>
    <row r="690" spans="1:7" x14ac:dyDescent="0.25">
      <c r="A690" s="2">
        <v>4</v>
      </c>
      <c r="B690" s="2" t="s">
        <v>45</v>
      </c>
      <c r="C690" s="2">
        <v>146</v>
      </c>
      <c r="D690" s="11">
        <v>1791328346.149012</v>
      </c>
      <c r="E690" s="7">
        <f>D690-D545</f>
        <v>157.482768535614</v>
      </c>
      <c r="F690" s="9">
        <v>2732</v>
      </c>
      <c r="G690" s="5">
        <f>(F690-F689)/$G$2/(D690-D689)*100</f>
        <v>22.1690505433838</v>
      </c>
    </row>
    <row r="691" spans="1:7" x14ac:dyDescent="0.25">
      <c r="A691" s="2">
        <v>4</v>
      </c>
      <c r="B691" s="2" t="s">
        <v>45</v>
      </c>
      <c r="C691" s="2">
        <v>147</v>
      </c>
      <c r="D691" s="11">
        <v>1791328347.2099142</v>
      </c>
      <c r="E691" s="7">
        <f>D691-D545</f>
        <v>158.543670654297</v>
      </c>
      <c r="F691" s="9">
        <v>2745</v>
      </c>
      <c r="G691" s="5">
        <f>(F691-F690)/$G$2/(D691-D690)*100</f>
        <v>12.253722347298</v>
      </c>
    </row>
    <row r="692" spans="1:7" x14ac:dyDescent="0.25">
      <c r="A692" s="2">
        <v>4</v>
      </c>
      <c r="B692" s="2" t="s">
        <v>45</v>
      </c>
      <c r="C692" s="2">
        <v>148</v>
      </c>
      <c r="D692" s="11">
        <v>1791328348.3195322</v>
      </c>
      <c r="E692" s="7">
        <f>D692-D545</f>
        <v>159.653288602829</v>
      </c>
      <c r="F692" s="9">
        <v>2756</v>
      </c>
      <c r="G692" s="5">
        <f>(F692-F691)/$G$2/(D692-D691)*100</f>
        <v>9.91332198127448</v>
      </c>
    </row>
    <row r="693" spans="1:7" x14ac:dyDescent="0.25">
      <c r="A693" s="2">
        <v>4</v>
      </c>
      <c r="B693" s="2" t="s">
        <v>45</v>
      </c>
      <c r="C693" s="2">
        <v>149</v>
      </c>
      <c r="D693" s="11">
        <v>1791328349.4210079</v>
      </c>
      <c r="E693" s="7">
        <f>D693-D545</f>
        <v>160.754764318466</v>
      </c>
      <c r="F693" s="9">
        <v>2769</v>
      </c>
      <c r="G693" s="5">
        <f>(F693-F692)/$G$2/(D693-D692)*100</f>
        <v>11.8023482637377</v>
      </c>
    </row>
    <row r="694" spans="1:7" x14ac:dyDescent="0.25">
      <c r="A694" s="2">
        <v>4</v>
      </c>
      <c r="B694" s="2" t="s">
        <v>45</v>
      </c>
      <c r="C694" s="2">
        <v>150</v>
      </c>
      <c r="D694" s="11">
        <v>1791328350.521261</v>
      </c>
      <c r="E694" s="7">
        <f>D694-D545</f>
        <v>161.85501742363</v>
      </c>
      <c r="F694" s="9">
        <v>2780</v>
      </c>
      <c r="G694" s="5">
        <f>(F694-F693)/$G$2/(D694-D693)*100</f>
        <v>9.99769957328558</v>
      </c>
    </row>
    <row r="695" spans="1:7" x14ac:dyDescent="0.25">
      <c r="A695" s="2">
        <v>4</v>
      </c>
      <c r="B695" s="2" t="s">
        <v>45</v>
      </c>
      <c r="C695" s="2">
        <v>151</v>
      </c>
      <c r="D695" s="11">
        <v>1791328351.650644</v>
      </c>
      <c r="E695" s="7">
        <f>D695-D545</f>
        <v>162.984400510788</v>
      </c>
      <c r="F695" s="9">
        <v>2791</v>
      </c>
      <c r="G695" s="5">
        <f>(F695-F694)/$G$2/(D695-D694)*100</f>
        <v>9.73983064300938</v>
      </c>
    </row>
    <row r="696" spans="1:7" x14ac:dyDescent="0.25">
      <c r="A696" s="2">
        <v>4</v>
      </c>
      <c r="B696" s="2" t="s">
        <v>45</v>
      </c>
      <c r="C696" s="2">
        <v>152</v>
      </c>
      <c r="D696" s="11">
        <v>1791328352.7581077</v>
      </c>
      <c r="E696" s="7">
        <f>D696-D545</f>
        <v>164.091864109039</v>
      </c>
      <c r="F696" s="9">
        <v>2810</v>
      </c>
      <c r="G696" s="5">
        <f>(F696-F695)/$G$2/(D696-D695)*100</f>
        <v>17.1563201083995</v>
      </c>
    </row>
    <row r="697" spans="1:7" x14ac:dyDescent="0.25">
      <c r="A697" s="2">
        <v>4</v>
      </c>
      <c r="B697" s="2" t="s">
        <v>45</v>
      </c>
      <c r="C697" s="2">
        <v>153</v>
      </c>
      <c r="D697" s="11">
        <v>1791328353.8618875</v>
      </c>
      <c r="E697" s="7">
        <f>D697-D545</f>
        <v>165.195643901825</v>
      </c>
      <c r="F697" s="9">
        <v>2823</v>
      </c>
      <c r="G697" s="5">
        <f>(F697-F696)/$G$2/(D697-D696)*100</f>
        <v>11.7777115371821</v>
      </c>
    </row>
    <row r="698" spans="1:7" x14ac:dyDescent="0.25">
      <c r="A698" s="2">
        <v>4</v>
      </c>
      <c r="B698" s="2" t="s">
        <v>45</v>
      </c>
      <c r="C698" s="2">
        <v>154</v>
      </c>
      <c r="D698" s="11">
        <v>1791328354.9469044</v>
      </c>
      <c r="E698" s="7">
        <f>D698-D545</f>
        <v>166.280660867691</v>
      </c>
      <c r="F698" s="9">
        <v>2834</v>
      </c>
      <c r="G698" s="5">
        <f>(F698-F697)/$G$2/(D698-D697)*100</f>
        <v>10.138090321214</v>
      </c>
    </row>
    <row r="699" spans="1:7" x14ac:dyDescent="0.25">
      <c r="A699" s="2">
        <v>4</v>
      </c>
      <c r="B699" s="2" t="s">
        <v>45</v>
      </c>
      <c r="C699" s="2">
        <v>155</v>
      </c>
      <c r="D699" s="11">
        <v>1791328356.059013</v>
      </c>
      <c r="E699" s="7">
        <f>D699-D545</f>
        <v>167.3927693367</v>
      </c>
      <c r="F699" s="9">
        <v>2845</v>
      </c>
      <c r="G699" s="5">
        <f>(F699-F698)/$G$2/(D699-D698)*100</f>
        <v>9.89112151065458</v>
      </c>
    </row>
    <row r="700" spans="1:7" x14ac:dyDescent="0.25">
      <c r="A700" s="2">
        <v>4</v>
      </c>
      <c r="B700" s="2" t="s">
        <v>45</v>
      </c>
      <c r="C700" s="2">
        <v>156</v>
      </c>
      <c r="D700" s="11">
        <v>1791328357.1544604</v>
      </c>
      <c r="E700" s="7">
        <f>D700-D545</f>
        <v>168.488216876984</v>
      </c>
      <c r="F700" s="9">
        <v>2864</v>
      </c>
      <c r="G700" s="5">
        <f>(F700-F699)/$G$2/(D700-D699)*100</f>
        <v>17.3445092542615</v>
      </c>
    </row>
    <row r="701" spans="1:7" x14ac:dyDescent="0.25">
      <c r="A701" s="2">
        <v>4</v>
      </c>
      <c r="B701" s="2" t="s">
        <v>45</v>
      </c>
      <c r="C701" s="2">
        <v>157</v>
      </c>
      <c r="D701" s="11">
        <v>1791328358.269134</v>
      </c>
      <c r="E701" s="7">
        <f>D701-D545</f>
        <v>169.602890491486</v>
      </c>
      <c r="F701" s="9">
        <v>2893</v>
      </c>
      <c r="G701" s="5">
        <f>(F701-F700)/$G$2/(D701-D700)*100</f>
        <v>26.0165842473606</v>
      </c>
    </row>
    <row r="702" spans="1:7" x14ac:dyDescent="0.25">
      <c r="A702" s="2">
        <v>4</v>
      </c>
      <c r="B702" s="2" t="s">
        <v>45</v>
      </c>
      <c r="C702" s="2">
        <v>158</v>
      </c>
      <c r="D702" s="11">
        <v>1791328359.3710127</v>
      </c>
      <c r="E702" s="7">
        <f>D702-D545</f>
        <v>170.704769134522</v>
      </c>
      <c r="F702" s="9">
        <v>2904</v>
      </c>
      <c r="G702" s="5">
        <f>(F702-F701)/$G$2/(D702-D701)*100</f>
        <v>9.98295054498277</v>
      </c>
    </row>
    <row r="703" spans="1:7" x14ac:dyDescent="0.25">
      <c r="A703" s="2">
        <v>4</v>
      </c>
      <c r="B703" s="2" t="s">
        <v>45</v>
      </c>
      <c r="C703" s="2">
        <v>159</v>
      </c>
      <c r="D703" s="11">
        <v>1791328360.4759617</v>
      </c>
      <c r="E703" s="7">
        <f>D703-D545</f>
        <v>171.809718132019</v>
      </c>
      <c r="F703" s="9">
        <v>2916</v>
      </c>
      <c r="G703" s="5">
        <f>(F703-F702)/$G$2/(D703-D702)*100</f>
        <v>10.8602297727561</v>
      </c>
    </row>
    <row r="704" spans="1:7" x14ac:dyDescent="0.25">
      <c r="A704" s="2">
        <v>4</v>
      </c>
      <c r="B704" s="2" t="s">
        <v>45</v>
      </c>
      <c r="C704" s="2">
        <v>160</v>
      </c>
      <c r="D704" s="11">
        <v>1791328361.5810902</v>
      </c>
      <c r="E704" s="7">
        <f>D704-D545</f>
        <v>172.914846658707</v>
      </c>
      <c r="F704" s="9">
        <v>2928</v>
      </c>
      <c r="G704" s="5">
        <f>(F704-F703)/$G$2/(D704-D703)*100</f>
        <v>10.8584655180039</v>
      </c>
    </row>
    <row r="705" spans="1:7" x14ac:dyDescent="0.25">
      <c r="A705" s="2">
        <v>4</v>
      </c>
      <c r="B705" s="2" t="s">
        <v>45</v>
      </c>
      <c r="C705" s="2">
        <v>161</v>
      </c>
      <c r="D705" s="11">
        <v>1791328362.6962605</v>
      </c>
      <c r="E705" s="7">
        <f>D705-D545</f>
        <v>174.030016899109</v>
      </c>
      <c r="F705" s="9">
        <v>2940</v>
      </c>
      <c r="G705" s="5">
        <f>(F705-F704)/$G$2/(D705-D704)*100</f>
        <v>10.7606888753342</v>
      </c>
    </row>
    <row r="706" spans="1:7" x14ac:dyDescent="0.25">
      <c r="A706" s="2">
        <v>4</v>
      </c>
      <c r="B706" s="2" t="s">
        <v>45</v>
      </c>
      <c r="C706" s="2">
        <v>162</v>
      </c>
      <c r="D706" s="11">
        <v>1791328363.788784</v>
      </c>
      <c r="E706" s="7">
        <f>D706-D545</f>
        <v>175.122540473938</v>
      </c>
      <c r="F706" s="9">
        <v>2953</v>
      </c>
      <c r="G706" s="5">
        <f>(F706-F705)/$G$2/(D706-D705)*100</f>
        <v>11.8990567338865</v>
      </c>
    </row>
    <row r="707" spans="1:7" x14ac:dyDescent="0.25">
      <c r="A707" s="2">
        <v>4</v>
      </c>
      <c r="B707" s="2" t="s">
        <v>45</v>
      </c>
      <c r="C707" s="2">
        <v>163</v>
      </c>
      <c r="D707" s="11">
        <v>1791328364.8946588</v>
      </c>
      <c r="E707" s="7">
        <f>D707-D545</f>
        <v>176.228415250778</v>
      </c>
      <c r="F707" s="9">
        <v>2965</v>
      </c>
      <c r="G707" s="5">
        <f>(F707-F706)/$G$2/(D707-D706)*100</f>
        <v>10.8511381680006</v>
      </c>
    </row>
    <row r="708" spans="1:7" x14ac:dyDescent="0.25">
      <c r="A708" s="2">
        <v>4</v>
      </c>
      <c r="B708" s="2" t="s">
        <v>45</v>
      </c>
      <c r="C708" s="2">
        <v>164</v>
      </c>
      <c r="D708" s="11">
        <v>1791328366.0013194</v>
      </c>
      <c r="E708" s="7">
        <f>D708-D545</f>
        <v>177.335075855255</v>
      </c>
      <c r="F708" s="9">
        <v>2977</v>
      </c>
      <c r="G708" s="5">
        <f>(F708-F707)/$G$2/(D708-D707)*100</f>
        <v>10.8434328930249</v>
      </c>
    </row>
    <row r="709" spans="1:7" x14ac:dyDescent="0.25">
      <c r="A709" s="2">
        <v>4</v>
      </c>
      <c r="B709" s="2" t="s">
        <v>45</v>
      </c>
      <c r="C709" s="2">
        <v>165</v>
      </c>
      <c r="D709" s="11">
        <v>1791328367.1098082</v>
      </c>
      <c r="E709" s="7">
        <f>D709-D545</f>
        <v>178.443564653397</v>
      </c>
      <c r="F709" s="9">
        <v>2989</v>
      </c>
      <c r="G709" s="5">
        <f>(F709-F708)/$G$2/(D709-D708)*100</f>
        <v>10.8255491802168</v>
      </c>
    </row>
    <row r="710" spans="1:7" x14ac:dyDescent="0.25">
      <c r="A710" s="2">
        <v>4</v>
      </c>
      <c r="B710" s="2" t="s">
        <v>45</v>
      </c>
      <c r="C710" s="2">
        <v>166</v>
      </c>
      <c r="D710" s="11">
        <v>1791328368.2177722</v>
      </c>
      <c r="E710" s="7">
        <f>D710-D545</f>
        <v>179.551528692245</v>
      </c>
      <c r="F710" s="9">
        <v>3006</v>
      </c>
      <c r="G710" s="5">
        <f>(F710-F709)/$G$2/(D710-D709)*100</f>
        <v>15.3434582747489</v>
      </c>
    </row>
    <row r="711" spans="1:7" x14ac:dyDescent="0.25">
      <c r="A711" s="2">
        <v>4</v>
      </c>
      <c r="B711" s="2" t="s">
        <v>45</v>
      </c>
      <c r="C711" s="2">
        <v>167</v>
      </c>
      <c r="D711" s="11">
        <v>1791328369.297929</v>
      </c>
      <c r="E711" s="7">
        <f>D711-D545</f>
        <v>180.631685495377</v>
      </c>
      <c r="F711" s="9">
        <v>3033</v>
      </c>
      <c r="G711" s="5">
        <f>(F711-F710)/$G$2/(D711-D710)*100</f>
        <v>24.9963708248041</v>
      </c>
    </row>
    <row r="712" spans="1:7" x14ac:dyDescent="0.25">
      <c r="A712" s="2">
        <v>4</v>
      </c>
      <c r="B712" s="2" t="s">
        <v>45</v>
      </c>
      <c r="C712" s="2">
        <v>168</v>
      </c>
      <c r="D712" s="11">
        <v>1791328370.4029021</v>
      </c>
      <c r="E712" s="7">
        <f>D712-D545</f>
        <v>181.736658573151</v>
      </c>
      <c r="F712" s="9">
        <v>3045</v>
      </c>
      <c r="G712" s="5">
        <f>(F712-F711)/$G$2/(D712-D711)*100</f>
        <v>10.8599930997177</v>
      </c>
    </row>
    <row r="713" spans="1:7" x14ac:dyDescent="0.25">
      <c r="A713" s="2">
        <v>4</v>
      </c>
      <c r="B713" s="2" t="s">
        <v>45</v>
      </c>
      <c r="C713" s="2">
        <v>169</v>
      </c>
      <c r="D713" s="11">
        <v>1791328371.5089467</v>
      </c>
      <c r="E713" s="7">
        <f>D713-D545</f>
        <v>182.842703104019</v>
      </c>
      <c r="F713" s="9">
        <v>3056</v>
      </c>
      <c r="G713" s="5">
        <f>(F713-F712)/$G$2/(D713-D712)*100</f>
        <v>9.94535002253676</v>
      </c>
    </row>
    <row r="714" spans="1:7" x14ac:dyDescent="0.25">
      <c r="A714" s="2">
        <v>4</v>
      </c>
      <c r="B714" s="2" t="s">
        <v>45</v>
      </c>
      <c r="C714" s="2">
        <v>170</v>
      </c>
      <c r="D714" s="11">
        <v>1791328372.579486</v>
      </c>
      <c r="E714" s="7">
        <f>D714-D545</f>
        <v>183.913242340088</v>
      </c>
      <c r="F714" s="9">
        <v>3072</v>
      </c>
      <c r="G714" s="5">
        <f>(F714-F713)/$G$2/(D714-D713)*100</f>
        <v>14.945738989218</v>
      </c>
    </row>
    <row r="715" spans="1:7" x14ac:dyDescent="0.25">
      <c r="A715" s="2">
        <v>4</v>
      </c>
      <c r="B715" s="2" t="s">
        <v>45</v>
      </c>
      <c r="C715" s="2">
        <v>171</v>
      </c>
      <c r="D715" s="11">
        <v>1791328373.6990232</v>
      </c>
      <c r="E715" s="7">
        <f>D715-D545</f>
        <v>185.032779693604</v>
      </c>
      <c r="F715" s="9">
        <v>3086</v>
      </c>
      <c r="G715" s="5">
        <f>(F715-F714)/$G$2/(D715-D714)*100</f>
        <v>12.5051655990187</v>
      </c>
    </row>
    <row r="716" spans="1:7" x14ac:dyDescent="0.25">
      <c r="A716" s="2">
        <v>4</v>
      </c>
      <c r="B716" s="2" t="s">
        <v>45</v>
      </c>
      <c r="C716" s="2">
        <v>172</v>
      </c>
      <c r="D716" s="11">
        <v>1791328374.7834446</v>
      </c>
      <c r="E716" s="7">
        <f>D716-D545</f>
        <v>186.117201089859</v>
      </c>
      <c r="F716" s="9">
        <v>3098</v>
      </c>
      <c r="G716" s="5">
        <f>(F716-F715)/$G$2/(D716-D715)*100</f>
        <v>11.0658089571416</v>
      </c>
    </row>
    <row r="717" spans="1:7" x14ac:dyDescent="0.25">
      <c r="A717" s="2">
        <v>4</v>
      </c>
      <c r="B717" s="2" t="s">
        <v>45</v>
      </c>
      <c r="C717" s="2">
        <v>173</v>
      </c>
      <c r="D717" s="11">
        <v>1791328375.866204</v>
      </c>
      <c r="E717" s="7">
        <f>D717-D545</f>
        <v>187.1999604702</v>
      </c>
      <c r="F717" s="9">
        <v>3111</v>
      </c>
      <c r="G717" s="5">
        <f>(F717-F716)/$G$2/(D717-D716)*100</f>
        <v>12.0063610032276</v>
      </c>
    </row>
    <row r="718" spans="1:7" x14ac:dyDescent="0.25">
      <c r="A718" s="2">
        <v>4</v>
      </c>
      <c r="B718" s="2" t="s">
        <v>45</v>
      </c>
      <c r="C718" s="2">
        <v>174</v>
      </c>
      <c r="D718" s="11">
        <v>1791328376.9717617</v>
      </c>
      <c r="E718" s="7">
        <f>D718-D545</f>
        <v>188.30551815033</v>
      </c>
      <c r="F718" s="9">
        <v>3122</v>
      </c>
      <c r="G718" s="5">
        <f>(F718-F717)/$G$2/(D718-D717)*100</f>
        <v>9.94972962306814</v>
      </c>
    </row>
    <row r="719" spans="1:7" x14ac:dyDescent="0.25">
      <c r="A719" s="2">
        <v>4</v>
      </c>
      <c r="B719" s="2" t="s">
        <v>45</v>
      </c>
      <c r="C719" s="2">
        <v>175</v>
      </c>
      <c r="D719" s="11">
        <v>1791328378.0560822</v>
      </c>
      <c r="E719" s="7">
        <f>D719-D545</f>
        <v>189.389838695526</v>
      </c>
      <c r="F719" s="9">
        <v>3134</v>
      </c>
      <c r="G719" s="5">
        <f>(F719-F718)/$G$2/(D719-D718)*100</f>
        <v>11.0668381717558</v>
      </c>
    </row>
    <row r="720" spans="1:7" x14ac:dyDescent="0.25">
      <c r="A720" s="2">
        <v>4</v>
      </c>
      <c r="B720" s="2" t="s">
        <v>45</v>
      </c>
      <c r="C720" s="2">
        <v>176</v>
      </c>
      <c r="D720" s="11">
        <v>1791328379.1620276</v>
      </c>
      <c r="E720" s="7">
        <f>D720-D545</f>
        <v>190.495784044266</v>
      </c>
      <c r="F720" s="9">
        <v>3143</v>
      </c>
      <c r="G720" s="5">
        <f>(F720-F719)/$G$2/(D720-D719)*100</f>
        <v>8.13783430642095</v>
      </c>
    </row>
    <row r="721" spans="1:7" x14ac:dyDescent="0.25">
      <c r="A721" s="2">
        <v>4</v>
      </c>
      <c r="B721" s="2" t="s">
        <v>45</v>
      </c>
      <c r="C721" s="2">
        <v>177</v>
      </c>
      <c r="D721" s="11">
        <v>1791328380.2677255</v>
      </c>
      <c r="E721" s="7">
        <f>D721-D545</f>
        <v>191.60148191452</v>
      </c>
      <c r="F721" s="9">
        <v>3155</v>
      </c>
      <c r="G721" s="5">
        <f>(F721-F720)/$G$2/(D721-D720)*100</f>
        <v>10.8528743003166</v>
      </c>
    </row>
    <row r="722" spans="1:7" x14ac:dyDescent="0.25">
      <c r="A722" s="2">
        <v>4</v>
      </c>
      <c r="B722" s="2" t="s">
        <v>45</v>
      </c>
      <c r="C722" s="2">
        <v>178</v>
      </c>
      <c r="D722" s="11">
        <v>1791328381.3465462</v>
      </c>
      <c r="E722" s="7">
        <f>D722-D545</f>
        <v>192.680302619934</v>
      </c>
      <c r="F722" s="9">
        <v>3188</v>
      </c>
      <c r="G722" s="5">
        <f>(F722-F721)/$G$2/(D722-D721)*100</f>
        <v>30.5889568437062</v>
      </c>
    </row>
    <row r="723" spans="1:7" x14ac:dyDescent="0.25">
      <c r="A723" s="2">
        <v>4</v>
      </c>
      <c r="B723" s="2" t="s">
        <v>45</v>
      </c>
      <c r="C723" s="2">
        <v>179</v>
      </c>
      <c r="D723" s="11">
        <v>1791328382.4092548</v>
      </c>
      <c r="E723" s="7">
        <f>D723-D545</f>
        <v>193.743011236191</v>
      </c>
      <c r="F723" s="9">
        <v>3206</v>
      </c>
      <c r="G723" s="5">
        <f>(F723-F722)/$G$2/(D723-D722)*100</f>
        <v>16.937850813145</v>
      </c>
    </row>
    <row r="724" spans="1:7" x14ac:dyDescent="0.25">
      <c r="A724" s="2">
        <v>4</v>
      </c>
      <c r="B724" s="2" t="s">
        <v>45</v>
      </c>
      <c r="C724" s="2">
        <v>180</v>
      </c>
      <c r="D724" s="11">
        <v>1791328383.511336</v>
      </c>
      <c r="E724" s="7">
        <f>D724-D545</f>
        <v>194.845092535019</v>
      </c>
      <c r="F724" s="9">
        <v>3218</v>
      </c>
      <c r="G724" s="5">
        <f>(F724-F723)/$G$2/(D724-D723)*100</f>
        <v>10.8884889098109</v>
      </c>
    </row>
    <row r="725" spans="1:6" x14ac:dyDescent="0.25">
      <c r="A725" s="2">
        <v>5</v>
      </c>
      <c r="B725" s="2" t="s">
        <v>45</v>
      </c>
      <c r="C725" s="2">
        <v>1</v>
      </c>
      <c r="D725" s="11">
        <v>1791328500.2510605</v>
      </c>
      <c r="E725" s="7">
        <f>D725-D725</f>
        <v>0</v>
      </c>
      <c r="F725" s="9">
        <v>1206</v>
      </c>
    </row>
    <row r="726" spans="1:7" x14ac:dyDescent="0.25">
      <c r="A726" s="2">
        <v>5</v>
      </c>
      <c r="B726" s="2" t="s">
        <v>45</v>
      </c>
      <c r="C726" s="2">
        <v>2</v>
      </c>
      <c r="D726" s="11">
        <v>1791328501.3104417</v>
      </c>
      <c r="E726" s="7">
        <f>D726-D725</f>
        <v>1.05938124656677</v>
      </c>
      <c r="F726" s="9">
        <v>1231</v>
      </c>
      <c r="G726" s="5">
        <f>(F726-F725)/$G$2/(D726-D725)*100</f>
        <v>23.5986809102197</v>
      </c>
    </row>
    <row r="727" spans="1:7" x14ac:dyDescent="0.25">
      <c r="A727" s="2">
        <v>5</v>
      </c>
      <c r="B727" s="2" t="s">
        <v>45</v>
      </c>
      <c r="C727" s="2">
        <v>3</v>
      </c>
      <c r="D727" s="11">
        <v>1791328502.4158807</v>
      </c>
      <c r="E727" s="7">
        <f>D727-D725</f>
        <v>2.16482019424438</v>
      </c>
      <c r="F727" s="9">
        <v>1244</v>
      </c>
      <c r="G727" s="5">
        <f>(F727-F726)/$G$2/(D727-D726)*100</f>
        <v>11.7600343531512</v>
      </c>
    </row>
    <row r="728" spans="1:7" x14ac:dyDescent="0.25">
      <c r="A728" s="2">
        <v>5</v>
      </c>
      <c r="B728" s="2" t="s">
        <v>45</v>
      </c>
      <c r="C728" s="2">
        <v>4</v>
      </c>
      <c r="D728" s="11">
        <v>1791328503.5208168</v>
      </c>
      <c r="E728" s="7">
        <f>D728-D725</f>
        <v>3.26975631713867</v>
      </c>
      <c r="F728" s="9">
        <v>1255</v>
      </c>
      <c r="G728" s="5">
        <f>(F728-F727)/$G$2/(D728-D727)*100</f>
        <v>9.95532662212765</v>
      </c>
    </row>
    <row r="729" spans="1:7" x14ac:dyDescent="0.25">
      <c r="A729" s="2">
        <v>5</v>
      </c>
      <c r="B729" s="2" t="s">
        <v>45</v>
      </c>
      <c r="C729" s="2">
        <v>5</v>
      </c>
      <c r="D729" s="11">
        <v>1791328504.6044033</v>
      </c>
      <c r="E729" s="7">
        <f>D729-D725</f>
        <v>4.35334277153015</v>
      </c>
      <c r="F729" s="9">
        <v>1268</v>
      </c>
      <c r="G729" s="5">
        <f>(F729-F728)/$G$2/(D729-D728)*100</f>
        <v>11.9971968524658</v>
      </c>
    </row>
    <row r="730" spans="1:7" x14ac:dyDescent="0.25">
      <c r="A730" s="2">
        <v>5</v>
      </c>
      <c r="B730" s="2" t="s">
        <v>45</v>
      </c>
      <c r="C730" s="2">
        <v>6</v>
      </c>
      <c r="D730" s="11">
        <v>1791328505.709653</v>
      </c>
      <c r="E730" s="7">
        <f>D730-D725</f>
        <v>5.45859241485596</v>
      </c>
      <c r="F730" s="9">
        <v>1282</v>
      </c>
      <c r="G730" s="5">
        <f>(F730-F729)/$G$2/(D730-D729)*100</f>
        <v>12.6668215498108</v>
      </c>
    </row>
    <row r="731" spans="1:7" x14ac:dyDescent="0.25">
      <c r="A731" s="2">
        <v>5</v>
      </c>
      <c r="B731" s="2" t="s">
        <v>45</v>
      </c>
      <c r="C731" s="2">
        <v>7</v>
      </c>
      <c r="D731" s="11">
        <v>1791328506.8139207</v>
      </c>
      <c r="E731" s="7">
        <f>D731-D725</f>
        <v>6.56286025047302</v>
      </c>
      <c r="F731" s="9">
        <v>1294</v>
      </c>
      <c r="G731" s="5">
        <f>(F731-F730)/$G$2/(D731-D730)*100</f>
        <v>10.8669288490997</v>
      </c>
    </row>
    <row r="732" spans="1:7" x14ac:dyDescent="0.25">
      <c r="A732" s="2">
        <v>5</v>
      </c>
      <c r="B732" s="2" t="s">
        <v>45</v>
      </c>
      <c r="C732" s="2">
        <v>8</v>
      </c>
      <c r="D732" s="11">
        <v>1791328507.919306</v>
      </c>
      <c r="E732" s="7">
        <f>D732-D725</f>
        <v>7.66824555397034</v>
      </c>
      <c r="F732" s="9">
        <v>1302</v>
      </c>
      <c r="G732" s="5">
        <f>(F732-F731)/$G$2/(D732-D731)*100</f>
        <v>7.23729542512362</v>
      </c>
    </row>
    <row r="733" spans="1:7" x14ac:dyDescent="0.25">
      <c r="A733" s="2">
        <v>5</v>
      </c>
      <c r="B733" s="2" t="s">
        <v>45</v>
      </c>
      <c r="C733" s="2">
        <v>9</v>
      </c>
      <c r="D733" s="11">
        <v>1791328509.0157504</v>
      </c>
      <c r="E733" s="7">
        <f>D733-D725</f>
        <v>8.76468992233276</v>
      </c>
      <c r="F733" s="9">
        <v>1314</v>
      </c>
      <c r="G733" s="5">
        <f>(F733-F732)/$G$2/(D733-D732)*100</f>
        <v>10.9444677233578</v>
      </c>
    </row>
    <row r="734" spans="1:7" x14ac:dyDescent="0.25">
      <c r="A734" s="2">
        <v>5</v>
      </c>
      <c r="B734" s="2" t="s">
        <v>45</v>
      </c>
      <c r="C734" s="2">
        <v>10</v>
      </c>
      <c r="D734" s="11">
        <v>1791328510.113545</v>
      </c>
      <c r="E734" s="7">
        <f>D734-D725</f>
        <v>9.86248445510864</v>
      </c>
      <c r="F734" s="9">
        <v>1327</v>
      </c>
      <c r="G734" s="5">
        <f>(F734-F733)/$G$2/(D734-D733)*100</f>
        <v>11.8419245240075</v>
      </c>
    </row>
    <row r="735" spans="1:7" x14ac:dyDescent="0.25">
      <c r="A735" s="2">
        <v>5</v>
      </c>
      <c r="B735" s="2" t="s">
        <v>45</v>
      </c>
      <c r="C735" s="2">
        <v>11</v>
      </c>
      <c r="D735" s="11">
        <v>1791328511.257829</v>
      </c>
      <c r="E735" s="7">
        <f>D735-D725</f>
        <v>11.0067684650421</v>
      </c>
      <c r="F735" s="9">
        <v>1341</v>
      </c>
      <c r="G735" s="5">
        <f>(F735-F734)/$G$2/(D735-D734)*100</f>
        <v>12.234724839696</v>
      </c>
    </row>
    <row r="736" spans="1:7" x14ac:dyDescent="0.25">
      <c r="A736" s="2">
        <v>5</v>
      </c>
      <c r="B736" s="2" t="s">
        <v>45</v>
      </c>
      <c r="C736" s="2">
        <v>12</v>
      </c>
      <c r="D736" s="11">
        <v>1791328512.3577428</v>
      </c>
      <c r="E736" s="7">
        <f>D736-D725</f>
        <v>12.1066823005676</v>
      </c>
      <c r="F736" s="9">
        <v>1357</v>
      </c>
      <c r="G736" s="5">
        <f>(F736-F735)/$G$2/(D736-D735)*100</f>
        <v>14.5465939996614</v>
      </c>
    </row>
    <row r="737" spans="1:7" x14ac:dyDescent="0.25">
      <c r="A737" s="2">
        <v>5</v>
      </c>
      <c r="B737" s="2" t="s">
        <v>45</v>
      </c>
      <c r="C737" s="2">
        <v>13</v>
      </c>
      <c r="D737" s="11">
        <v>1791328513.410558</v>
      </c>
      <c r="E737" s="7">
        <f>D737-D725</f>
        <v>13.1594974994659</v>
      </c>
      <c r="F737" s="9">
        <v>1387</v>
      </c>
      <c r="G737" s="5">
        <f>(F737-F736)/$G$2/(D737-D736)*100</f>
        <v>28.4950293569019</v>
      </c>
    </row>
    <row r="738" spans="1:7" x14ac:dyDescent="0.25">
      <c r="A738" s="2">
        <v>5</v>
      </c>
      <c r="B738" s="2" t="s">
        <v>45</v>
      </c>
      <c r="C738" s="2">
        <v>14</v>
      </c>
      <c r="D738" s="11">
        <v>1791328514.4993656</v>
      </c>
      <c r="E738" s="7">
        <f>D738-D725</f>
        <v>14.2483050823212</v>
      </c>
      <c r="F738" s="9">
        <v>1400</v>
      </c>
      <c r="G738" s="5">
        <f>(F738-F737)/$G$2/(D738-D737)*100</f>
        <v>11.9396670308904</v>
      </c>
    </row>
    <row r="739" spans="1:7" x14ac:dyDescent="0.25">
      <c r="A739" s="2">
        <v>5</v>
      </c>
      <c r="B739" s="2" t="s">
        <v>45</v>
      </c>
      <c r="C739" s="2">
        <v>15</v>
      </c>
      <c r="D739" s="11">
        <v>1791328515.5838888</v>
      </c>
      <c r="E739" s="7">
        <f>D739-D725</f>
        <v>15.3328282833099</v>
      </c>
      <c r="F739" s="9">
        <v>1417</v>
      </c>
      <c r="G739" s="5">
        <f>(F739-F738)/$G$2/(D739-D738)*100</f>
        <v>15.6750911225329</v>
      </c>
    </row>
    <row r="740" spans="1:7" x14ac:dyDescent="0.25">
      <c r="A740" s="2">
        <v>5</v>
      </c>
      <c r="B740" s="2" t="s">
        <v>45</v>
      </c>
      <c r="C740" s="2">
        <v>16</v>
      </c>
      <c r="D740" s="11">
        <v>1791328516.6898134</v>
      </c>
      <c r="E740" s="7">
        <f>D740-D725</f>
        <v>16.4387528896332</v>
      </c>
      <c r="F740" s="9">
        <v>1430</v>
      </c>
      <c r="G740" s="5">
        <f>(F740-F739)/$G$2/(D740-D739)*100</f>
        <v>11.7548700206787</v>
      </c>
    </row>
    <row r="741" spans="1:7" x14ac:dyDescent="0.25">
      <c r="A741" s="2">
        <v>5</v>
      </c>
      <c r="B741" s="2" t="s">
        <v>45</v>
      </c>
      <c r="C741" s="2">
        <v>17</v>
      </c>
      <c r="D741" s="11">
        <v>1791328517.795486</v>
      </c>
      <c r="E741" s="7">
        <f>D741-D725</f>
        <v>17.5444254875183</v>
      </c>
      <c r="F741" s="9">
        <v>1442</v>
      </c>
      <c r="G741" s="5">
        <f>(F741-F740)/$G$2/(D741-D740)*100</f>
        <v>10.8531223645706</v>
      </c>
    </row>
    <row r="742" spans="1:7" x14ac:dyDescent="0.25">
      <c r="A742" s="2">
        <v>5</v>
      </c>
      <c r="B742" s="2" t="s">
        <v>45</v>
      </c>
      <c r="C742" s="2">
        <v>18</v>
      </c>
      <c r="D742" s="11">
        <v>1791328518.8779016</v>
      </c>
      <c r="E742" s="7">
        <f>D742-D725</f>
        <v>18.6268410682678</v>
      </c>
      <c r="F742" s="9">
        <v>1455</v>
      </c>
      <c r="G742" s="5">
        <f>(F742-F741)/$G$2/(D742-D741)*100</f>
        <v>12.0101744941608</v>
      </c>
    </row>
    <row r="743" spans="1:7" x14ac:dyDescent="0.25">
      <c r="A743" s="2">
        <v>5</v>
      </c>
      <c r="B743" s="2" t="s">
        <v>45</v>
      </c>
      <c r="C743" s="2">
        <v>19</v>
      </c>
      <c r="D743" s="11">
        <v>1791328519.9874306</v>
      </c>
      <c r="E743" s="7">
        <f>D743-D725</f>
        <v>19.7363700866699</v>
      </c>
      <c r="F743" s="9">
        <v>1467</v>
      </c>
      <c r="G743" s="5">
        <f>(F743-F742)/$G$2/(D743-D742)*100</f>
        <v>10.8153998687497</v>
      </c>
    </row>
    <row r="744" spans="1:7" x14ac:dyDescent="0.25">
      <c r="A744" s="2">
        <v>5</v>
      </c>
      <c r="B744" s="2" t="s">
        <v>45</v>
      </c>
      <c r="C744" s="2">
        <v>20</v>
      </c>
      <c r="D744" s="11">
        <v>1791328521.071289</v>
      </c>
      <c r="E744" s="7">
        <f>D744-D725</f>
        <v>20.8202285766602</v>
      </c>
      <c r="F744" s="9">
        <v>1482</v>
      </c>
      <c r="G744" s="5">
        <f>(F744-F743)/$G$2/(D744-D743)*100</f>
        <v>13.8394450369025</v>
      </c>
    </row>
    <row r="745" spans="1:7" x14ac:dyDescent="0.25">
      <c r="A745" s="2">
        <v>5</v>
      </c>
      <c r="B745" s="2" t="s">
        <v>45</v>
      </c>
      <c r="C745" s="2">
        <v>21</v>
      </c>
      <c r="D745" s="11">
        <v>1791328522.212976</v>
      </c>
      <c r="E745" s="7">
        <f>D745-D725</f>
        <v>21.9619154930115</v>
      </c>
      <c r="F745" s="9">
        <v>1496</v>
      </c>
      <c r="G745" s="5">
        <f>(F745-F744)/$G$2/(D745-D744)*100</f>
        <v>12.2625562222804</v>
      </c>
    </row>
    <row r="746" spans="1:7" x14ac:dyDescent="0.25">
      <c r="A746" s="2">
        <v>5</v>
      </c>
      <c r="B746" s="2" t="s">
        <v>45</v>
      </c>
      <c r="C746" s="2">
        <v>22</v>
      </c>
      <c r="D746" s="11">
        <v>1791328523.3188782</v>
      </c>
      <c r="E746" s="7">
        <f>D746-D725</f>
        <v>23.0678176879883</v>
      </c>
      <c r="F746" s="9">
        <v>1508</v>
      </c>
      <c r="G746" s="5">
        <f>(F746-F745)/$G$2/(D746-D745)*100</f>
        <v>10.8508691406039</v>
      </c>
    </row>
    <row r="747" spans="1:7" x14ac:dyDescent="0.25">
      <c r="A747" s="2">
        <v>5</v>
      </c>
      <c r="B747" s="2" t="s">
        <v>45</v>
      </c>
      <c r="C747" s="2">
        <v>23</v>
      </c>
      <c r="D747" s="11">
        <v>1791328524.4325094</v>
      </c>
      <c r="E747" s="7">
        <f>D747-D725</f>
        <v>24.1814489364624</v>
      </c>
      <c r="F747" s="9">
        <v>1526</v>
      </c>
      <c r="G747" s="5">
        <f>(F747-F746)/$G$2/(D747-D746)*100</f>
        <v>16.1633395476854</v>
      </c>
    </row>
    <row r="748" spans="1:7" x14ac:dyDescent="0.25">
      <c r="A748" s="2">
        <v>5</v>
      </c>
      <c r="B748" s="2" t="s">
        <v>45</v>
      </c>
      <c r="C748" s="2">
        <v>24</v>
      </c>
      <c r="D748" s="11">
        <v>1791328525.5405002</v>
      </c>
      <c r="E748" s="7">
        <f>D748-D725</f>
        <v>25.2894396781921</v>
      </c>
      <c r="F748" s="9">
        <v>1548</v>
      </c>
      <c r="G748" s="5">
        <f>(F748-F747)/$G$2/(D748-D747)*100</f>
        <v>19.8557615794287</v>
      </c>
    </row>
    <row r="749" spans="1:7" x14ac:dyDescent="0.25">
      <c r="A749" s="2">
        <v>5</v>
      </c>
      <c r="B749" s="2" t="s">
        <v>45</v>
      </c>
      <c r="C749" s="2">
        <v>25</v>
      </c>
      <c r="D749" s="11">
        <v>1791328526.64844</v>
      </c>
      <c r="E749" s="7">
        <f>D749-D725</f>
        <v>26.3973793983459</v>
      </c>
      <c r="F749" s="9">
        <v>1559</v>
      </c>
      <c r="G749" s="5">
        <f>(F749-F748)/$G$2/(D749-D748)*100</f>
        <v>9.92833797715361</v>
      </c>
    </row>
    <row r="750" spans="1:7" x14ac:dyDescent="0.25">
      <c r="A750" s="2">
        <v>5</v>
      </c>
      <c r="B750" s="2" t="s">
        <v>45</v>
      </c>
      <c r="C750" s="2">
        <v>26</v>
      </c>
      <c r="D750" s="11">
        <v>1791328527.757712</v>
      </c>
      <c r="E750" s="7">
        <f>D750-D725</f>
        <v>27.5066514015198</v>
      </c>
      <c r="F750" s="9">
        <v>1571</v>
      </c>
      <c r="G750" s="5">
        <f>(F750-F749)/$G$2/(D750-D749)*100</f>
        <v>10.8179057667243</v>
      </c>
    </row>
    <row r="751" spans="1:7" x14ac:dyDescent="0.25">
      <c r="A751" s="2">
        <v>5</v>
      </c>
      <c r="B751" s="2" t="s">
        <v>45</v>
      </c>
      <c r="C751" s="2">
        <v>27</v>
      </c>
      <c r="D751" s="11">
        <v>1791328528.8649223</v>
      </c>
      <c r="E751" s="7">
        <f>D751-D725</f>
        <v>28.6138617992401</v>
      </c>
      <c r="F751" s="9">
        <v>1584</v>
      </c>
      <c r="G751" s="5">
        <f>(F751-F750)/$G$2/(D751-D750)*100</f>
        <v>11.7412192179246</v>
      </c>
    </row>
    <row r="752" spans="1:7" x14ac:dyDescent="0.25">
      <c r="A752" s="2">
        <v>5</v>
      </c>
      <c r="B752" s="2" t="s">
        <v>45</v>
      </c>
      <c r="C752" s="2">
        <v>28</v>
      </c>
      <c r="D752" s="11">
        <v>1791328529.9463727</v>
      </c>
      <c r="E752" s="7">
        <f>D752-D725</f>
        <v>29.6953122615814</v>
      </c>
      <c r="F752" s="9">
        <v>1598</v>
      </c>
      <c r="G752" s="5">
        <f>(F752-F751)/$G$2/(D752-D751)*100</f>
        <v>12.9455767855426</v>
      </c>
    </row>
    <row r="753" spans="1:7" x14ac:dyDescent="0.25">
      <c r="A753" s="2">
        <v>5</v>
      </c>
      <c r="B753" s="2" t="s">
        <v>45</v>
      </c>
      <c r="C753" s="2">
        <v>29</v>
      </c>
      <c r="D753" s="11">
        <v>1791328531.0227203</v>
      </c>
      <c r="E753" s="7">
        <f>D753-D725</f>
        <v>30.7716598510742</v>
      </c>
      <c r="F753" s="9">
        <v>1613</v>
      </c>
      <c r="G753" s="5">
        <f>(F753-F752)/$G$2/(D753-D752)*100</f>
        <v>13.9360185746952</v>
      </c>
    </row>
    <row r="754" spans="1:7" x14ac:dyDescent="0.25">
      <c r="A754" s="2">
        <v>5</v>
      </c>
      <c r="B754" s="2" t="s">
        <v>45</v>
      </c>
      <c r="C754" s="2">
        <v>30</v>
      </c>
      <c r="D754" s="11">
        <v>1791328532.12523</v>
      </c>
      <c r="E754" s="7">
        <f>D754-D725</f>
        <v>31.874169588089</v>
      </c>
      <c r="F754" s="9">
        <v>1626</v>
      </c>
      <c r="G754" s="5">
        <f>(F754-F753)/$G$2/(D754-D753)*100</f>
        <v>11.7912790822144</v>
      </c>
    </row>
    <row r="755" spans="1:7" x14ac:dyDescent="0.25">
      <c r="A755" s="2">
        <v>5</v>
      </c>
      <c r="B755" s="2" t="s">
        <v>45</v>
      </c>
      <c r="C755" s="2">
        <v>31</v>
      </c>
      <c r="D755" s="11">
        <v>1791328533.262631</v>
      </c>
      <c r="E755" s="7">
        <f>D755-D725</f>
        <v>33.0115704536438</v>
      </c>
      <c r="F755" s="9">
        <v>1638</v>
      </c>
      <c r="G755" s="5">
        <f>(F755-F754)/$G$2/(D755-D754)*100</f>
        <v>10.5503700264432</v>
      </c>
    </row>
    <row r="756" spans="1:7" x14ac:dyDescent="0.25">
      <c r="A756" s="2">
        <v>5</v>
      </c>
      <c r="B756" s="2" t="s">
        <v>45</v>
      </c>
      <c r="C756" s="2">
        <v>32</v>
      </c>
      <c r="D756" s="11">
        <v>1791328534.367502</v>
      </c>
      <c r="E756" s="7">
        <f>D756-D725</f>
        <v>34.116441488266</v>
      </c>
      <c r="F756" s="9">
        <v>1652</v>
      </c>
      <c r="G756" s="5">
        <f>(F756-F755)/$G$2/(D756-D755)*100</f>
        <v>12.671162118742</v>
      </c>
    </row>
    <row r="757" spans="1:7" x14ac:dyDescent="0.25">
      <c r="A757" s="2">
        <v>5</v>
      </c>
      <c r="B757" s="2" t="s">
        <v>45</v>
      </c>
      <c r="C757" s="2">
        <v>33</v>
      </c>
      <c r="D757" s="11">
        <v>1791328535.4287617</v>
      </c>
      <c r="E757" s="7">
        <f>D757-D725</f>
        <v>35.1777012348175</v>
      </c>
      <c r="F757" s="9">
        <v>1669</v>
      </c>
      <c r="G757" s="5">
        <f>(F757-F756)/$G$2/(D757-D756)*100</f>
        <v>16.018698584621</v>
      </c>
    </row>
    <row r="758" spans="1:7" x14ac:dyDescent="0.25">
      <c r="A758" s="2">
        <v>5</v>
      </c>
      <c r="B758" s="2" t="s">
        <v>45</v>
      </c>
      <c r="C758" s="2">
        <v>34</v>
      </c>
      <c r="D758" s="11">
        <v>1791328536.5334446</v>
      </c>
      <c r="E758" s="7">
        <f>D758-D725</f>
        <v>36.2823841571808</v>
      </c>
      <c r="F758" s="9">
        <v>1694</v>
      </c>
      <c r="G758" s="5">
        <f>(F758-F757)/$G$2/(D758-D757)*100</f>
        <v>22.6309282907323</v>
      </c>
    </row>
    <row r="759" spans="1:7" x14ac:dyDescent="0.25">
      <c r="A759" s="2">
        <v>5</v>
      </c>
      <c r="B759" s="2" t="s">
        <v>45</v>
      </c>
      <c r="C759" s="2">
        <v>35</v>
      </c>
      <c r="D759" s="11">
        <v>1791328537.636576</v>
      </c>
      <c r="E759" s="7">
        <f>D759-D725</f>
        <v>37.3855154514313</v>
      </c>
      <c r="F759" s="9">
        <v>1710</v>
      </c>
      <c r="G759" s="5">
        <f>(F759-F758)/$G$2/(D759-D758)*100</f>
        <v>14.5041665333872</v>
      </c>
    </row>
    <row r="760" spans="1:7" x14ac:dyDescent="0.25">
      <c r="A760" s="2">
        <v>5</v>
      </c>
      <c r="B760" s="2" t="s">
        <v>45</v>
      </c>
      <c r="C760" s="2">
        <v>36</v>
      </c>
      <c r="D760" s="11">
        <v>1791328538.7201612</v>
      </c>
      <c r="E760" s="7">
        <f>D760-D725</f>
        <v>38.4691007137299</v>
      </c>
      <c r="F760" s="9">
        <v>1723</v>
      </c>
      <c r="G760" s="5">
        <f>(F760-F759)/$G$2/(D760-D759)*100</f>
        <v>11.9972100510332</v>
      </c>
    </row>
    <row r="761" spans="1:7" x14ac:dyDescent="0.25">
      <c r="A761" s="2">
        <v>5</v>
      </c>
      <c r="B761" s="2" t="s">
        <v>45</v>
      </c>
      <c r="C761" s="2">
        <v>37</v>
      </c>
      <c r="D761" s="11">
        <v>1791328539.825301</v>
      </c>
      <c r="E761" s="7">
        <f>D761-D725</f>
        <v>39.5742404460907</v>
      </c>
      <c r="F761" s="9">
        <v>1735</v>
      </c>
      <c r="G761" s="5">
        <f>(F761-F760)/$G$2/(D761-D760)*100</f>
        <v>10.8583554175228</v>
      </c>
    </row>
    <row r="762" spans="1:7" x14ac:dyDescent="0.25">
      <c r="A762" s="2">
        <v>5</v>
      </c>
      <c r="B762" s="2" t="s">
        <v>45</v>
      </c>
      <c r="C762" s="2">
        <v>38</v>
      </c>
      <c r="D762" s="11">
        <v>1791328540.9303606</v>
      </c>
      <c r="E762" s="7">
        <f>D762-D725</f>
        <v>40.679300069809</v>
      </c>
      <c r="F762" s="9">
        <v>1747</v>
      </c>
      <c r="G762" s="5">
        <f>(F762-F761)/$G$2/(D762-D761)*100</f>
        <v>10.8591425679122</v>
      </c>
    </row>
    <row r="763" spans="1:7" x14ac:dyDescent="0.25">
      <c r="A763" s="2">
        <v>5</v>
      </c>
      <c r="B763" s="2" t="s">
        <v>45</v>
      </c>
      <c r="C763" s="2">
        <v>39</v>
      </c>
      <c r="D763" s="11">
        <v>1791328542.0089142</v>
      </c>
      <c r="E763" s="7">
        <f>D763-D725</f>
        <v>41.7578537464142</v>
      </c>
      <c r="F763" s="9">
        <v>1760</v>
      </c>
      <c r="G763" s="5">
        <f>(F763-F762)/$G$2/(D763-D762)*100</f>
        <v>12.053178513023</v>
      </c>
    </row>
    <row r="764" spans="1:7" x14ac:dyDescent="0.25">
      <c r="A764" s="2">
        <v>5</v>
      </c>
      <c r="B764" s="2" t="s">
        <v>45</v>
      </c>
      <c r="C764" s="2">
        <v>40</v>
      </c>
      <c r="D764" s="11">
        <v>1791328543.076588</v>
      </c>
      <c r="E764" s="7">
        <f>D764-D725</f>
        <v>42.8255274295807</v>
      </c>
      <c r="F764" s="9">
        <v>1770</v>
      </c>
      <c r="G764" s="5">
        <f>(F764-F763)/$G$2/(D764-D763)*100</f>
        <v>9.36615761694344</v>
      </c>
    </row>
    <row r="765" spans="1:7" x14ac:dyDescent="0.25">
      <c r="A765" s="2">
        <v>5</v>
      </c>
      <c r="B765" s="2" t="s">
        <v>45</v>
      </c>
      <c r="C765" s="2">
        <v>41</v>
      </c>
      <c r="D765" s="11">
        <v>1791328544.217573</v>
      </c>
      <c r="E765" s="7">
        <f>D765-D725</f>
        <v>43.9665124416351</v>
      </c>
      <c r="F765" s="9">
        <v>1783</v>
      </c>
      <c r="G765" s="5">
        <f>(F765-F764)/$G$2/(D765-D764)*100</f>
        <v>11.3936641258699</v>
      </c>
    </row>
    <row r="766" spans="1:7" x14ac:dyDescent="0.25">
      <c r="A766" s="2">
        <v>5</v>
      </c>
      <c r="B766" s="2" t="s">
        <v>45</v>
      </c>
      <c r="C766" s="2">
        <v>42</v>
      </c>
      <c r="D766" s="11">
        <v>1791328545.308883</v>
      </c>
      <c r="E766" s="7">
        <f>D766-D725</f>
        <v>45.0578224658966</v>
      </c>
      <c r="F766" s="9">
        <v>1802</v>
      </c>
      <c r="G766" s="5">
        <f>(F766-F765)/$G$2/(D766-D765)*100</f>
        <v>17.4102680059756</v>
      </c>
    </row>
    <row r="767" spans="1:7" x14ac:dyDescent="0.25">
      <c r="A767" s="2">
        <v>5</v>
      </c>
      <c r="B767" s="2" t="s">
        <v>45</v>
      </c>
      <c r="C767" s="2">
        <v>43</v>
      </c>
      <c r="D767" s="11">
        <v>1791328546.4130957</v>
      </c>
      <c r="E767" s="7">
        <f>D767-D725</f>
        <v>46.1620352268219</v>
      </c>
      <c r="F767" s="9">
        <v>1814</v>
      </c>
      <c r="G767" s="5">
        <f>(F767-F766)/$G$2/(D767-D766)*100</f>
        <v>10.8674708576492</v>
      </c>
    </row>
    <row r="768" spans="1:7" x14ac:dyDescent="0.25">
      <c r="A768" s="2">
        <v>5</v>
      </c>
      <c r="B768" s="2" t="s">
        <v>45</v>
      </c>
      <c r="C768" s="2">
        <v>44</v>
      </c>
      <c r="D768" s="11">
        <v>1791328547.5207627</v>
      </c>
      <c r="E768" s="7">
        <f>D768-D725</f>
        <v>47.2697021961212</v>
      </c>
      <c r="F768" s="9">
        <v>1827</v>
      </c>
      <c r="G768" s="5">
        <f>(F768-F767)/$G$2/(D768-D767)*100</f>
        <v>11.7363795800677</v>
      </c>
    </row>
    <row r="769" spans="1:7" x14ac:dyDescent="0.25">
      <c r="A769" s="2">
        <v>5</v>
      </c>
      <c r="B769" s="2" t="s">
        <v>45</v>
      </c>
      <c r="C769" s="2">
        <v>45</v>
      </c>
      <c r="D769" s="11">
        <v>1791328548.6222873</v>
      </c>
      <c r="E769" s="7">
        <f>D769-D725</f>
        <v>48.3712267875671</v>
      </c>
      <c r="F769" s="9">
        <v>1856</v>
      </c>
      <c r="G769" s="5">
        <f>(F769-F768)/$G$2/(D769-D768)*100</f>
        <v>26.3271471424283</v>
      </c>
    </row>
    <row r="770" spans="1:7" x14ac:dyDescent="0.25">
      <c r="A770" s="2">
        <v>5</v>
      </c>
      <c r="B770" s="2" t="s">
        <v>45</v>
      </c>
      <c r="C770" s="2">
        <v>46</v>
      </c>
      <c r="D770" s="11">
        <v>1791328549.72249</v>
      </c>
      <c r="E770" s="7">
        <f>D770-D725</f>
        <v>49.4714295864105</v>
      </c>
      <c r="F770" s="9">
        <v>1869</v>
      </c>
      <c r="G770" s="5">
        <f>(F770-F769)/$G$2/(D770-D769)*100</f>
        <v>11.8160033892539</v>
      </c>
    </row>
    <row r="771" spans="1:7" x14ac:dyDescent="0.25">
      <c r="A771" s="2">
        <v>5</v>
      </c>
      <c r="B771" s="2" t="s">
        <v>45</v>
      </c>
      <c r="C771" s="2">
        <v>47</v>
      </c>
      <c r="D771" s="11">
        <v>1791328550.8279026</v>
      </c>
      <c r="E771" s="7">
        <f>D771-D725</f>
        <v>50.5768420696259</v>
      </c>
      <c r="F771" s="9">
        <v>1886</v>
      </c>
      <c r="G771" s="5">
        <f>(F771-F770)/$G$2/(D771-D770)*100</f>
        <v>15.3788746356037</v>
      </c>
    </row>
    <row r="772" spans="1:7" x14ac:dyDescent="0.25">
      <c r="A772" s="2">
        <v>5</v>
      </c>
      <c r="B772" s="2" t="s">
        <v>45</v>
      </c>
      <c r="C772" s="2">
        <v>48</v>
      </c>
      <c r="D772" s="11">
        <v>1791328551.9344296</v>
      </c>
      <c r="E772" s="7">
        <f>D772-D725</f>
        <v>51.6833691596985</v>
      </c>
      <c r="F772" s="9">
        <v>1898</v>
      </c>
      <c r="G772" s="5">
        <f>(F772-F771)/$G$2/(D772-D771)*100</f>
        <v>10.8447412699244</v>
      </c>
    </row>
    <row r="773" spans="1:7" x14ac:dyDescent="0.25">
      <c r="A773" s="2">
        <v>5</v>
      </c>
      <c r="B773" s="2" t="s">
        <v>45</v>
      </c>
      <c r="C773" s="2">
        <v>49</v>
      </c>
      <c r="D773" s="11">
        <v>1791328553.036805</v>
      </c>
      <c r="E773" s="7">
        <f>D773-D725</f>
        <v>52.7857444286346</v>
      </c>
      <c r="F773" s="9">
        <v>1911</v>
      </c>
      <c r="G773" s="5">
        <f>(F773-F772)/$G$2/(D773-D772)*100</f>
        <v>11.792717386109</v>
      </c>
    </row>
    <row r="774" spans="1:7" x14ac:dyDescent="0.25">
      <c r="A774" s="2">
        <v>5</v>
      </c>
      <c r="B774" s="2" t="s">
        <v>45</v>
      </c>
      <c r="C774" s="2">
        <v>50</v>
      </c>
      <c r="D774" s="11">
        <v>1791328554.1180706</v>
      </c>
      <c r="E774" s="7">
        <f>D774-D725</f>
        <v>53.8670101165772</v>
      </c>
      <c r="F774" s="9">
        <v>1924</v>
      </c>
      <c r="G774" s="5">
        <f>(F774-F773)/$G$2/(D774-D773)*100</f>
        <v>12.0229469453869</v>
      </c>
    </row>
    <row r="775" spans="1:7" x14ac:dyDescent="0.25">
      <c r="A775" s="2">
        <v>5</v>
      </c>
      <c r="B775" s="2" t="s">
        <v>45</v>
      </c>
      <c r="C775" s="2">
        <v>51</v>
      </c>
      <c r="D775" s="11">
        <v>1791328555.2614336</v>
      </c>
      <c r="E775" s="7">
        <f>D775-D725</f>
        <v>55.0103731155396</v>
      </c>
      <c r="F775" s="9">
        <v>1937</v>
      </c>
      <c r="G775" s="5">
        <f>(F775-F774)/$G$2/(D775-D774)*100</f>
        <v>11.3699673785119</v>
      </c>
    </row>
    <row r="776" spans="1:7" x14ac:dyDescent="0.25">
      <c r="A776" s="2">
        <v>5</v>
      </c>
      <c r="B776" s="2" t="s">
        <v>45</v>
      </c>
      <c r="C776" s="2">
        <v>52</v>
      </c>
      <c r="D776" s="11">
        <v>1791328556.3688138</v>
      </c>
      <c r="E776" s="7">
        <f>D776-D725</f>
        <v>56.1177532672882</v>
      </c>
      <c r="F776" s="9">
        <v>1949</v>
      </c>
      <c r="G776" s="5">
        <f>(F776-F775)/$G$2/(D776-D775)*100</f>
        <v>10.836387107942</v>
      </c>
    </row>
    <row r="777" spans="1:7" x14ac:dyDescent="0.25">
      <c r="A777" s="2">
        <v>5</v>
      </c>
      <c r="B777" s="2" t="s">
        <v>45</v>
      </c>
      <c r="C777" s="2">
        <v>53</v>
      </c>
      <c r="D777" s="11">
        <v>1791328557.4754248</v>
      </c>
      <c r="E777" s="7">
        <f>D777-D725</f>
        <v>57.2243642807007</v>
      </c>
      <c r="F777" s="9">
        <v>1963</v>
      </c>
      <c r="G777" s="5">
        <f>(F777-F776)/$G$2/(D777-D776)*100</f>
        <v>12.6512386288547</v>
      </c>
    </row>
    <row r="778" spans="1:7" x14ac:dyDescent="0.25">
      <c r="A778" s="2">
        <v>5</v>
      </c>
      <c r="B778" s="2" t="s">
        <v>45</v>
      </c>
      <c r="C778" s="2">
        <v>54</v>
      </c>
      <c r="D778" s="11">
        <v>1791328558.578477</v>
      </c>
      <c r="E778" s="7">
        <f>D778-D725</f>
        <v>58.3274164199829</v>
      </c>
      <c r="F778" s="9">
        <v>1976</v>
      </c>
      <c r="G778" s="5">
        <f>(F778-F777)/$G$2/(D778-D777)*100</f>
        <v>11.7854809732379</v>
      </c>
    </row>
    <row r="779" spans="1:7" x14ac:dyDescent="0.25">
      <c r="A779" s="2">
        <v>5</v>
      </c>
      <c r="B779" s="2" t="s">
        <v>45</v>
      </c>
      <c r="C779" s="2">
        <v>55</v>
      </c>
      <c r="D779" s="11">
        <v>1791328559.6817448</v>
      </c>
      <c r="E779" s="7">
        <f>D779-D725</f>
        <v>59.4306843280792</v>
      </c>
      <c r="F779" s="9">
        <v>1989</v>
      </c>
      <c r="G779" s="5">
        <f>(F779-F778)/$G$2/(D779-D778)*100</f>
        <v>11.7831760577823</v>
      </c>
    </row>
    <row r="780" spans="1:7" x14ac:dyDescent="0.25">
      <c r="A780" s="2">
        <v>5</v>
      </c>
      <c r="B780" s="2" t="s">
        <v>45</v>
      </c>
      <c r="C780" s="2">
        <v>56</v>
      </c>
      <c r="D780" s="11">
        <v>1791328560.7634714</v>
      </c>
      <c r="E780" s="7">
        <f>D780-D725</f>
        <v>60.5124108791351</v>
      </c>
      <c r="F780" s="9">
        <v>2028</v>
      </c>
      <c r="G780" s="5">
        <f>(F780-F779)/$G$2/(D780-D779)*100</f>
        <v>36.0534739227126</v>
      </c>
    </row>
    <row r="781" spans="1:7" x14ac:dyDescent="0.25">
      <c r="A781" s="2">
        <v>5</v>
      </c>
      <c r="B781" s="2" t="s">
        <v>45</v>
      </c>
      <c r="C781" s="2">
        <v>57</v>
      </c>
      <c r="D781" s="11">
        <v>1791328561.8709998</v>
      </c>
      <c r="E781" s="7">
        <f>D781-D725</f>
        <v>61.61993932724</v>
      </c>
      <c r="F781" s="9">
        <v>2041</v>
      </c>
      <c r="G781" s="5">
        <f>(F781-F780)/$G$2/(D781-D780)*100</f>
        <v>11.7378474767351</v>
      </c>
    </row>
    <row r="782" spans="1:7" x14ac:dyDescent="0.25">
      <c r="A782" s="2">
        <v>5</v>
      </c>
      <c r="B782" s="2" t="s">
        <v>45</v>
      </c>
      <c r="C782" s="2">
        <v>58</v>
      </c>
      <c r="D782" s="11">
        <v>1791328562.9738853</v>
      </c>
      <c r="E782" s="7">
        <f>D782-D725</f>
        <v>62.7228248119354</v>
      </c>
      <c r="F782" s="9">
        <v>2054</v>
      </c>
      <c r="G782" s="5">
        <f>(F782-F781)/$G$2/(D782-D781)*100</f>
        <v>11.7872618512066</v>
      </c>
    </row>
    <row r="783" spans="1:7" x14ac:dyDescent="0.25">
      <c r="A783" s="2">
        <v>5</v>
      </c>
      <c r="B783" s="2" t="s">
        <v>45</v>
      </c>
      <c r="C783" s="2">
        <v>59</v>
      </c>
      <c r="D783" s="11">
        <v>1791328564.075186</v>
      </c>
      <c r="E783" s="7">
        <f>D783-D725</f>
        <v>63.8241255283356</v>
      </c>
      <c r="F783" s="9">
        <v>2063</v>
      </c>
      <c r="G783" s="5">
        <f>(F783-F782)/$G$2/(D783-D782)*100</f>
        <v>8.17215485831932</v>
      </c>
    </row>
    <row r="784" spans="1:7" x14ac:dyDescent="0.25">
      <c r="A784" s="2">
        <v>5</v>
      </c>
      <c r="B784" s="2" t="s">
        <v>45</v>
      </c>
      <c r="C784" s="2">
        <v>60</v>
      </c>
      <c r="D784" s="11">
        <v>1791328565.1812894</v>
      </c>
      <c r="E784" s="7">
        <f>D784-D725</f>
        <v>64.9302289485931</v>
      </c>
      <c r="F784" s="9">
        <v>2080</v>
      </c>
      <c r="G784" s="5">
        <f>(F784-F783)/$G$2/(D784-D783)*100</f>
        <v>15.369268088911</v>
      </c>
    </row>
    <row r="785" spans="1:7" x14ac:dyDescent="0.25">
      <c r="A785" s="2">
        <v>5</v>
      </c>
      <c r="B785" s="2" t="s">
        <v>45</v>
      </c>
      <c r="C785" s="2">
        <v>61</v>
      </c>
      <c r="D785" s="11">
        <v>1791328566.299021</v>
      </c>
      <c r="E785" s="7">
        <f>D785-D725</f>
        <v>66.0479605197907</v>
      </c>
      <c r="F785" s="9">
        <v>2093</v>
      </c>
      <c r="G785" s="5">
        <f>(F785-F784)/$G$2/(D785-D784)*100</f>
        <v>11.630699476505</v>
      </c>
    </row>
    <row r="786" spans="1:7" x14ac:dyDescent="0.25">
      <c r="A786" s="2">
        <v>5</v>
      </c>
      <c r="B786" s="2" t="s">
        <v>45</v>
      </c>
      <c r="C786" s="2">
        <v>62</v>
      </c>
      <c r="D786" s="11">
        <v>1791328567.3570058</v>
      </c>
      <c r="E786" s="7">
        <f>D786-D725</f>
        <v>67.1059453487396</v>
      </c>
      <c r="F786" s="9">
        <v>2106</v>
      </c>
      <c r="G786" s="5">
        <f>(F786-F785)/$G$2/(D786-D785)*100</f>
        <v>12.2875107887081</v>
      </c>
    </row>
    <row r="787" spans="1:7" x14ac:dyDescent="0.25">
      <c r="A787" s="2">
        <v>5</v>
      </c>
      <c r="B787" s="2" t="s">
        <v>45</v>
      </c>
      <c r="C787" s="2">
        <v>63</v>
      </c>
      <c r="D787" s="11">
        <v>1791328568.4555178</v>
      </c>
      <c r="E787" s="7">
        <f>D787-D725</f>
        <v>68.20445728302</v>
      </c>
      <c r="F787" s="9">
        <v>2117</v>
      </c>
      <c r="G787" s="5">
        <f>(F787-F786)/$G$2/(D787-D786)*100</f>
        <v>10.0135461952954</v>
      </c>
    </row>
    <row r="788" spans="1:7" x14ac:dyDescent="0.25">
      <c r="A788" s="2">
        <v>5</v>
      </c>
      <c r="B788" s="2" t="s">
        <v>45</v>
      </c>
      <c r="C788" s="2">
        <v>64</v>
      </c>
      <c r="D788" s="11">
        <v>1791328569.5616987</v>
      </c>
      <c r="E788" s="7">
        <f>D788-D725</f>
        <v>69.3106381893158</v>
      </c>
      <c r="F788" s="9">
        <v>2130</v>
      </c>
      <c r="G788" s="5">
        <f>(F788-F787)/$G$2/(D788-D787)*100</f>
        <v>11.7521464400724</v>
      </c>
    </row>
    <row r="789" spans="1:7" x14ac:dyDescent="0.25">
      <c r="A789" s="2">
        <v>5</v>
      </c>
      <c r="B789" s="2" t="s">
        <v>45</v>
      </c>
      <c r="C789" s="2">
        <v>65</v>
      </c>
      <c r="D789" s="11">
        <v>1791328570.6615534</v>
      </c>
      <c r="E789" s="7">
        <f>D789-D725</f>
        <v>70.4104928970337</v>
      </c>
      <c r="F789" s="9">
        <v>2141</v>
      </c>
      <c r="G789" s="5">
        <f>(F789-F788)/$G$2/(D789-D788)*100</f>
        <v>10.0013210134128</v>
      </c>
    </row>
    <row r="790" spans="1:7" x14ac:dyDescent="0.25">
      <c r="A790" s="2">
        <v>5</v>
      </c>
      <c r="B790" s="2" t="s">
        <v>45</v>
      </c>
      <c r="C790" s="2">
        <v>66</v>
      </c>
      <c r="D790" s="11">
        <v>1791328571.7435992</v>
      </c>
      <c r="E790" s="7">
        <f>D790-D725</f>
        <v>71.492538690567</v>
      </c>
      <c r="F790" s="9">
        <v>2149</v>
      </c>
      <c r="G790" s="5">
        <f>(F790-F789)/$G$2/(D790-D789)*100</f>
        <v>7.39340243066488</v>
      </c>
    </row>
    <row r="791" spans="1:7" x14ac:dyDescent="0.25">
      <c r="A791" s="2">
        <v>5</v>
      </c>
      <c r="B791" s="2" t="s">
        <v>45</v>
      </c>
      <c r="C791" s="2">
        <v>67</v>
      </c>
      <c r="D791" s="11">
        <v>1791328572.8252409</v>
      </c>
      <c r="E791" s="7">
        <f>D791-D725</f>
        <v>72.5741803646088</v>
      </c>
      <c r="F791" s="9">
        <v>2182</v>
      </c>
      <c r="G791" s="5">
        <f>(F791-F790)/$G$2/(D791-D790)*100</f>
        <v>30.5091795110756</v>
      </c>
    </row>
    <row r="792" spans="1:7" x14ac:dyDescent="0.25">
      <c r="A792" s="2">
        <v>5</v>
      </c>
      <c r="B792" s="2" t="s">
        <v>45</v>
      </c>
      <c r="C792" s="2">
        <v>68</v>
      </c>
      <c r="D792" s="11">
        <v>1791328573.9271781</v>
      </c>
      <c r="E792" s="7">
        <f>D792-D725</f>
        <v>73.6761176586151</v>
      </c>
      <c r="F792" s="9">
        <v>2193</v>
      </c>
      <c r="G792" s="5">
        <f>(F792-F791)/$G$2/(D792-D791)*100</f>
        <v>9.98241919919686</v>
      </c>
    </row>
    <row r="793" spans="1:7" x14ac:dyDescent="0.25">
      <c r="A793" s="2">
        <v>5</v>
      </c>
      <c r="B793" s="2" t="s">
        <v>45</v>
      </c>
      <c r="C793" s="2">
        <v>69</v>
      </c>
      <c r="D793" s="11">
        <v>1791328575.0262275</v>
      </c>
      <c r="E793" s="7">
        <f>D793-D725</f>
        <v>74.7751669883728</v>
      </c>
      <c r="F793" s="9">
        <v>2212</v>
      </c>
      <c r="G793" s="5">
        <f>(F793-F792)/$G$2/(D793-D792)*100</f>
        <v>17.2876680650804</v>
      </c>
    </row>
    <row r="794" spans="1:7" x14ac:dyDescent="0.25">
      <c r="A794" s="2">
        <v>5</v>
      </c>
      <c r="B794" s="2" t="s">
        <v>45</v>
      </c>
      <c r="C794" s="2">
        <v>70</v>
      </c>
      <c r="D794" s="11">
        <v>1791328576.127168</v>
      </c>
      <c r="E794" s="7">
        <f>D794-D725</f>
        <v>75.8761074542999</v>
      </c>
      <c r="F794" s="9">
        <v>2224</v>
      </c>
      <c r="G794" s="5">
        <f>(F794-F793)/$G$2/(D794-D793)*100</f>
        <v>10.8997719417049</v>
      </c>
    </row>
    <row r="795" spans="1:7" x14ac:dyDescent="0.25">
      <c r="A795" s="2">
        <v>5</v>
      </c>
      <c r="B795" s="2" t="s">
        <v>45</v>
      </c>
      <c r="C795" s="2">
        <v>71</v>
      </c>
      <c r="D795" s="11">
        <v>1791328577.2618463</v>
      </c>
      <c r="E795" s="7">
        <f>D795-D725</f>
        <v>77.0107858181</v>
      </c>
      <c r="F795" s="9">
        <v>2237</v>
      </c>
      <c r="G795" s="5">
        <f>(F795-F794)/$G$2/(D795-D794)*100</f>
        <v>11.4569911745412</v>
      </c>
    </row>
    <row r="796" spans="1:7" x14ac:dyDescent="0.25">
      <c r="A796" s="2">
        <v>5</v>
      </c>
      <c r="B796" s="2" t="s">
        <v>45</v>
      </c>
      <c r="C796" s="2">
        <v>72</v>
      </c>
      <c r="D796" s="11">
        <v>1791328578.3686182</v>
      </c>
      <c r="E796" s="7">
        <f>D796-D725</f>
        <v>78.1175577640534</v>
      </c>
      <c r="F796" s="9">
        <v>2249</v>
      </c>
      <c r="G796" s="5">
        <f>(F796-F795)/$G$2/(D796-D795)*100</f>
        <v>10.8423420415334</v>
      </c>
    </row>
    <row r="797" spans="1:7" x14ac:dyDescent="0.25">
      <c r="A797" s="2">
        <v>5</v>
      </c>
      <c r="B797" s="2" t="s">
        <v>45</v>
      </c>
      <c r="C797" s="2">
        <v>73</v>
      </c>
      <c r="D797" s="11">
        <v>1791328579.4747705</v>
      </c>
      <c r="E797" s="7">
        <f>D797-D725</f>
        <v>79.2237100601196</v>
      </c>
      <c r="F797" s="9">
        <v>2262</v>
      </c>
      <c r="G797" s="5">
        <f>(F797-F796)/$G$2/(D797-D796)*100</f>
        <v>11.7524504050941</v>
      </c>
    </row>
    <row r="798" spans="1:7" x14ac:dyDescent="0.25">
      <c r="A798" s="2">
        <v>5</v>
      </c>
      <c r="B798" s="2" t="s">
        <v>45</v>
      </c>
      <c r="C798" s="2">
        <v>74</v>
      </c>
      <c r="D798" s="11">
        <v>1791328580.5813327</v>
      </c>
      <c r="E798" s="7">
        <f>D798-D725</f>
        <v>80.3302721977234</v>
      </c>
      <c r="F798" s="9">
        <v>2279</v>
      </c>
      <c r="G798" s="5">
        <f>(F798-F797)/$G$2/(D798-D797)*100</f>
        <v>15.3628968697711</v>
      </c>
    </row>
    <row r="799" spans="1:7" x14ac:dyDescent="0.25">
      <c r="A799" s="2">
        <v>5</v>
      </c>
      <c r="B799" s="2" t="s">
        <v>45</v>
      </c>
      <c r="C799" s="2">
        <v>75</v>
      </c>
      <c r="D799" s="11">
        <v>1791328581.679035</v>
      </c>
      <c r="E799" s="7">
        <f>D799-D725</f>
        <v>81.4279744625092</v>
      </c>
      <c r="F799" s="9">
        <v>2291</v>
      </c>
      <c r="G799" s="5">
        <f>(F799-F798)/$G$2/(D799-D798)*100</f>
        <v>10.9319260649808</v>
      </c>
    </row>
    <row r="800" spans="1:7" x14ac:dyDescent="0.25">
      <c r="A800" s="2">
        <v>5</v>
      </c>
      <c r="B800" s="2" t="s">
        <v>45</v>
      </c>
      <c r="C800" s="2">
        <v>76</v>
      </c>
      <c r="D800" s="11">
        <v>1791328582.7844088</v>
      </c>
      <c r="E800" s="7">
        <f>D800-D725</f>
        <v>82.5333483219147</v>
      </c>
      <c r="F800" s="9">
        <v>2302</v>
      </c>
      <c r="G800" s="5">
        <f>(F800-F799)/$G$2/(D800-D799)*100</f>
        <v>9.95138423656583</v>
      </c>
    </row>
    <row r="801" spans="1:7" x14ac:dyDescent="0.25">
      <c r="A801" s="2">
        <v>5</v>
      </c>
      <c r="B801" s="2" t="s">
        <v>45</v>
      </c>
      <c r="C801" s="2">
        <v>77</v>
      </c>
      <c r="D801" s="11">
        <v>1791328583.8728108</v>
      </c>
      <c r="E801" s="7">
        <f>D801-D725</f>
        <v>83.6217503547669</v>
      </c>
      <c r="F801" s="9">
        <v>2310</v>
      </c>
      <c r="G801" s="5">
        <f>(F801-F800)/$G$2/(D801-D800)*100</f>
        <v>7.35022515442744</v>
      </c>
    </row>
    <row r="802" spans="1:7" x14ac:dyDescent="0.25">
      <c r="A802" s="2">
        <v>5</v>
      </c>
      <c r="B802" s="2" t="s">
        <v>45</v>
      </c>
      <c r="C802" s="2">
        <v>78</v>
      </c>
      <c r="D802" s="11">
        <v>1791328584.9554775</v>
      </c>
      <c r="E802" s="7">
        <f>D802-D725</f>
        <v>84.7044169902802</v>
      </c>
      <c r="F802" s="9">
        <v>2334</v>
      </c>
      <c r="G802" s="5">
        <f>(F802-F801)/$G$2/(D802-D801)*100</f>
        <v>22.1674883225909</v>
      </c>
    </row>
    <row r="803" spans="1:7" x14ac:dyDescent="0.25">
      <c r="A803" s="2">
        <v>5</v>
      </c>
      <c r="B803" s="2" t="s">
        <v>45</v>
      </c>
      <c r="C803" s="2">
        <v>79</v>
      </c>
      <c r="D803" s="11">
        <v>1791328586.0449758</v>
      </c>
      <c r="E803" s="7">
        <f>D803-D725</f>
        <v>85.793915271759</v>
      </c>
      <c r="F803" s="9">
        <v>2344</v>
      </c>
      <c r="G803" s="5">
        <f>(F803-F802)/$G$2/(D803-D802)*100</f>
        <v>9.17853673566702</v>
      </c>
    </row>
    <row r="804" spans="1:7" x14ac:dyDescent="0.25">
      <c r="A804" s="2">
        <v>5</v>
      </c>
      <c r="B804" s="2" t="s">
        <v>45</v>
      </c>
      <c r="C804" s="2">
        <v>80</v>
      </c>
      <c r="D804" s="11">
        <v>1791328587.1305914</v>
      </c>
      <c r="E804" s="7">
        <f>D804-D725</f>
        <v>86.8795309066773</v>
      </c>
      <c r="F804" s="9">
        <v>2356</v>
      </c>
      <c r="G804" s="5">
        <f>(F804-F803)/$G$2/(D804-D803)*100</f>
        <v>11.0536359407757</v>
      </c>
    </row>
    <row r="805" spans="1:7" x14ac:dyDescent="0.25">
      <c r="A805" s="2">
        <v>5</v>
      </c>
      <c r="B805" s="2" t="s">
        <v>45</v>
      </c>
      <c r="C805" s="2">
        <v>81</v>
      </c>
      <c r="D805" s="11">
        <v>1791328588.2493021</v>
      </c>
      <c r="E805" s="7">
        <f>D805-D725</f>
        <v>87.9982416629791</v>
      </c>
      <c r="F805" s="9">
        <v>2367</v>
      </c>
      <c r="G805" s="5">
        <f>(F805-F804)/$G$2/(D805-D804)*100</f>
        <v>9.8327471493728</v>
      </c>
    </row>
    <row r="806" spans="1:7" x14ac:dyDescent="0.25">
      <c r="A806" s="2">
        <v>5</v>
      </c>
      <c r="B806" s="2" t="s">
        <v>45</v>
      </c>
      <c r="C806" s="2">
        <v>82</v>
      </c>
      <c r="D806" s="11">
        <v>1791328589.332417</v>
      </c>
      <c r="E806" s="7">
        <f>D806-D725</f>
        <v>89.0813565254211</v>
      </c>
      <c r="F806" s="9">
        <v>2377</v>
      </c>
      <c r="G806" s="5">
        <f>(F806-F805)/$G$2/(D806-D805)*100</f>
        <v>9.23263113337191</v>
      </c>
    </row>
    <row r="807" spans="1:7" x14ac:dyDescent="0.25">
      <c r="A807" s="2">
        <v>5</v>
      </c>
      <c r="B807" s="2" t="s">
        <v>45</v>
      </c>
      <c r="C807" s="2">
        <v>83</v>
      </c>
      <c r="D807" s="11">
        <v>1791328590.4362805</v>
      </c>
      <c r="E807" s="7">
        <f>D807-D725</f>
        <v>90.1852200031281</v>
      </c>
      <c r="F807" s="9">
        <v>2395</v>
      </c>
      <c r="G807" s="5">
        <f>(F807-F806)/$G$2/(D807-D806)*100</f>
        <v>16.3063642955123</v>
      </c>
    </row>
    <row r="808" spans="1:7" x14ac:dyDescent="0.25">
      <c r="A808" s="2">
        <v>5</v>
      </c>
      <c r="B808" s="2" t="s">
        <v>45</v>
      </c>
      <c r="C808" s="2">
        <v>84</v>
      </c>
      <c r="D808" s="11">
        <v>1791328591.5409093</v>
      </c>
      <c r="E808" s="7">
        <f>D808-D725</f>
        <v>91.2898488044739</v>
      </c>
      <c r="F808" s="9">
        <v>2408</v>
      </c>
      <c r="G808" s="5">
        <f>(F808-F807)/$G$2/(D808-D807)*100</f>
        <v>11.7686592855097</v>
      </c>
    </row>
    <row r="809" spans="1:7" x14ac:dyDescent="0.25">
      <c r="A809" s="2">
        <v>5</v>
      </c>
      <c r="B809" s="2" t="s">
        <v>45</v>
      </c>
      <c r="C809" s="2">
        <v>85</v>
      </c>
      <c r="D809" s="11">
        <v>1791328592.648701</v>
      </c>
      <c r="E809" s="7">
        <f>D809-D725</f>
        <v>92.3976404666901</v>
      </c>
      <c r="F809" s="9">
        <v>2419</v>
      </c>
      <c r="G809" s="5">
        <f>(F809-F808)/$G$2/(D809-D808)*100</f>
        <v>9.92966491370228</v>
      </c>
    </row>
    <row r="810" spans="1:7" x14ac:dyDescent="0.25">
      <c r="A810" s="2">
        <v>5</v>
      </c>
      <c r="B810" s="2" t="s">
        <v>45</v>
      </c>
      <c r="C810" s="2">
        <v>86</v>
      </c>
      <c r="D810" s="11">
        <v>1791328593.73752</v>
      </c>
      <c r="E810" s="7">
        <f>D810-D725</f>
        <v>93.4864594936371</v>
      </c>
      <c r="F810" s="9">
        <v>2432</v>
      </c>
      <c r="G810" s="5">
        <f>(F810-F809)/$G$2/(D810-D809)*100</f>
        <v>11.9395415383686</v>
      </c>
    </row>
    <row r="811" spans="1:7" x14ac:dyDescent="0.25">
      <c r="A811" s="2">
        <v>5</v>
      </c>
      <c r="B811" s="2" t="s">
        <v>45</v>
      </c>
      <c r="C811" s="2">
        <v>87</v>
      </c>
      <c r="D811" s="11">
        <v>1791328594.820891</v>
      </c>
      <c r="E811" s="7">
        <f>D811-D725</f>
        <v>94.5698304176331</v>
      </c>
      <c r="F811" s="9">
        <v>2443</v>
      </c>
      <c r="G811" s="5">
        <f>(F811-F810)/$G$2/(D811-D810)*100</f>
        <v>10.1534938370202</v>
      </c>
    </row>
    <row r="812" spans="1:7" x14ac:dyDescent="0.25">
      <c r="A812" s="2">
        <v>5</v>
      </c>
      <c r="B812" s="2" t="s">
        <v>45</v>
      </c>
      <c r="C812" s="2">
        <v>88</v>
      </c>
      <c r="D812" s="11">
        <v>1791328595.9022682</v>
      </c>
      <c r="E812" s="7">
        <f>D812-D725</f>
        <v>95.6512076854706</v>
      </c>
      <c r="F812" s="9">
        <v>2461</v>
      </c>
      <c r="G812" s="5">
        <f>(F812-F811)/$G$2/(D812-D811)*100</f>
        <v>16.6454396031418</v>
      </c>
    </row>
    <row r="813" spans="1:7" x14ac:dyDescent="0.25">
      <c r="A813" s="2">
        <v>5</v>
      </c>
      <c r="B813" s="2" t="s">
        <v>45</v>
      </c>
      <c r="C813" s="2">
        <v>89</v>
      </c>
      <c r="D813" s="11">
        <v>1791328596.9822545</v>
      </c>
      <c r="E813" s="7">
        <f>D813-D725</f>
        <v>96.7311940193176</v>
      </c>
      <c r="F813" s="9">
        <v>2481</v>
      </c>
      <c r="G813" s="5">
        <f>(F813-F812)/$G$2/(D813-D812)*100</f>
        <v>18.5187528519528</v>
      </c>
    </row>
    <row r="814" spans="1:7" x14ac:dyDescent="0.25">
      <c r="A814" s="2">
        <v>5</v>
      </c>
      <c r="B814" s="2" t="s">
        <v>45</v>
      </c>
      <c r="C814" s="2">
        <v>90</v>
      </c>
      <c r="D814" s="11">
        <v>1791328598.0279584</v>
      </c>
      <c r="E814" s="7">
        <f>D814-D725</f>
        <v>97.7768979072571</v>
      </c>
      <c r="F814" s="9">
        <v>2484</v>
      </c>
      <c r="G814" s="5">
        <f>(F814-F813)/$G$2/(D814-D813)*100</f>
        <v>2.86888098495212</v>
      </c>
    </row>
    <row r="815" spans="1:7" x14ac:dyDescent="0.25">
      <c r="A815" s="2">
        <v>5</v>
      </c>
      <c r="B815" s="2" t="s">
        <v>45</v>
      </c>
      <c r="C815" s="2">
        <v>91</v>
      </c>
      <c r="D815" s="11">
        <v>1791328599.0916638</v>
      </c>
      <c r="E815" s="7">
        <f>D815-D725</f>
        <v>98.840603351593</v>
      </c>
      <c r="F815" s="9">
        <v>2491</v>
      </c>
      <c r="G815" s="5">
        <f>(F815-F814)/$G$2/(D815-D814)*100</f>
        <v>6.58076917559639</v>
      </c>
    </row>
    <row r="816" spans="1:7" x14ac:dyDescent="0.25">
      <c r="A816" s="2">
        <v>5</v>
      </c>
      <c r="B816" s="2" t="s">
        <v>45</v>
      </c>
      <c r="C816" s="2">
        <v>92</v>
      </c>
      <c r="D816" s="11">
        <v>1791328600.195356</v>
      </c>
      <c r="E816" s="7">
        <f>D816-D725</f>
        <v>99.9442954063416</v>
      </c>
      <c r="F816" s="9">
        <v>2503</v>
      </c>
      <c r="G816" s="5">
        <f>(F816-F815)/$G$2/(D816-D815)*100</f>
        <v>10.8725979754689</v>
      </c>
    </row>
    <row r="817" spans="1:7" x14ac:dyDescent="0.25">
      <c r="A817" s="2">
        <v>5</v>
      </c>
      <c r="B817" s="2" t="s">
        <v>45</v>
      </c>
      <c r="C817" s="2">
        <v>93</v>
      </c>
      <c r="D817" s="11">
        <v>1791328601.2916028</v>
      </c>
      <c r="E817" s="7">
        <f>D817-D725</f>
        <v>101.04054236412</v>
      </c>
      <c r="F817" s="9">
        <v>2515</v>
      </c>
      <c r="G817" s="5">
        <f>(F817-F816)/$G$2/(D817-D816)*100</f>
        <v>10.9464385874446</v>
      </c>
    </row>
    <row r="818" spans="1:7" x14ac:dyDescent="0.25">
      <c r="A818" s="2">
        <v>5</v>
      </c>
      <c r="B818" s="2" t="s">
        <v>45</v>
      </c>
      <c r="C818" s="2">
        <v>94</v>
      </c>
      <c r="D818" s="11">
        <v>1791328602.373964</v>
      </c>
      <c r="E818" s="7">
        <f>D818-D725</f>
        <v>102.122903585434</v>
      </c>
      <c r="F818" s="9">
        <v>2526</v>
      </c>
      <c r="G818" s="5">
        <f>(F818-F817)/$G$2/(D818-D817)*100</f>
        <v>10.1629657302866</v>
      </c>
    </row>
    <row r="819" spans="1:7" x14ac:dyDescent="0.25">
      <c r="A819" s="2">
        <v>5</v>
      </c>
      <c r="B819" s="2" t="s">
        <v>45</v>
      </c>
      <c r="C819" s="2">
        <v>95</v>
      </c>
      <c r="D819" s="11">
        <v>1791328603.478461</v>
      </c>
      <c r="E819" s="7">
        <f>D819-D725</f>
        <v>103.227400541306</v>
      </c>
      <c r="F819" s="9">
        <v>2538</v>
      </c>
      <c r="G819" s="5">
        <f>(F819-F818)/$G$2/(D819-D818)*100</f>
        <v>10.8646745798684</v>
      </c>
    </row>
    <row r="820" spans="1:7" x14ac:dyDescent="0.25">
      <c r="A820" s="2">
        <v>5</v>
      </c>
      <c r="B820" s="2" t="s">
        <v>45</v>
      </c>
      <c r="C820" s="2">
        <v>96</v>
      </c>
      <c r="D820" s="11">
        <v>1791328604.587676</v>
      </c>
      <c r="E820" s="7">
        <f>D820-D725</f>
        <v>104.336615562439</v>
      </c>
      <c r="F820" s="9">
        <v>2549</v>
      </c>
      <c r="G820" s="5">
        <f>(F820-F819)/$G$2/(D820-D819)*100</f>
        <v>9.91692304054802</v>
      </c>
    </row>
    <row r="821" spans="1:7" x14ac:dyDescent="0.25">
      <c r="A821" s="2">
        <v>5</v>
      </c>
      <c r="B821" s="2" t="s">
        <v>45</v>
      </c>
      <c r="C821" s="2">
        <v>97</v>
      </c>
      <c r="D821" s="11">
        <v>1791328605.6934466</v>
      </c>
      <c r="E821" s="7">
        <f>D821-D725</f>
        <v>105.44238615036</v>
      </c>
      <c r="F821" s="9">
        <v>2569</v>
      </c>
      <c r="G821" s="5">
        <f>(F821-F820)/$G$2/(D821-D820)*100</f>
        <v>18.0869343229685</v>
      </c>
    </row>
    <row r="822" spans="1:7" x14ac:dyDescent="0.25">
      <c r="A822" s="2">
        <v>5</v>
      </c>
      <c r="B822" s="2" t="s">
        <v>45</v>
      </c>
      <c r="C822" s="2">
        <v>98</v>
      </c>
      <c r="D822" s="11">
        <v>1791328606.7861483</v>
      </c>
      <c r="E822" s="7">
        <f>D822-D725</f>
        <v>106.535087823868</v>
      </c>
      <c r="F822" s="9">
        <v>2580</v>
      </c>
      <c r="G822" s="5">
        <f>(F822-F821)/$G$2/(D822-D821)*100</f>
        <v>10.066791574217</v>
      </c>
    </row>
    <row r="823" spans="1:7" x14ac:dyDescent="0.25">
      <c r="A823" s="2">
        <v>5</v>
      </c>
      <c r="B823" s="2" t="s">
        <v>45</v>
      </c>
      <c r="C823" s="2">
        <v>99</v>
      </c>
      <c r="D823" s="11">
        <v>1791328607.8783286</v>
      </c>
      <c r="E823" s="7">
        <f>D823-D725</f>
        <v>107.627268075943</v>
      </c>
      <c r="F823" s="9">
        <v>2588</v>
      </c>
      <c r="G823" s="5">
        <f>(F823-F822)/$G$2/(D823-D822)*100</f>
        <v>7.32479825083782</v>
      </c>
    </row>
    <row r="824" spans="1:7" x14ac:dyDescent="0.25">
      <c r="A824" s="2">
        <v>5</v>
      </c>
      <c r="B824" s="2" t="s">
        <v>45</v>
      </c>
      <c r="C824" s="2">
        <v>100</v>
      </c>
      <c r="D824" s="11">
        <v>1791328608.980947</v>
      </c>
      <c r="E824" s="7">
        <f>D824-D725</f>
        <v>108.72988653183</v>
      </c>
      <c r="F824" s="9">
        <v>2617</v>
      </c>
      <c r="G824" s="5">
        <f>(F824-F823)/$G$2/(D824-D823)*100</f>
        <v>26.3010290143159</v>
      </c>
    </row>
    <row r="825" spans="1:7" x14ac:dyDescent="0.25">
      <c r="A825" s="2">
        <v>5</v>
      </c>
      <c r="B825" s="2" t="s">
        <v>45</v>
      </c>
      <c r="C825" s="2">
        <v>101</v>
      </c>
      <c r="D825" s="11">
        <v>1791328610.0943177</v>
      </c>
      <c r="E825" s="7">
        <f>D825-D725</f>
        <v>109.843257188797</v>
      </c>
      <c r="F825" s="9">
        <v>2630</v>
      </c>
      <c r="G825" s="5">
        <f>(F825-F824)/$G$2/(D825-D824)*100</f>
        <v>11.676255269213</v>
      </c>
    </row>
    <row r="826" spans="1:7" x14ac:dyDescent="0.25">
      <c r="A826" s="2">
        <v>5</v>
      </c>
      <c r="B826" s="2" t="s">
        <v>45</v>
      </c>
      <c r="C826" s="2">
        <v>102</v>
      </c>
      <c r="D826" s="11">
        <v>1791328611.1709483</v>
      </c>
      <c r="E826" s="7">
        <f>D826-D725</f>
        <v>110.919887781143</v>
      </c>
      <c r="F826" s="9">
        <v>2641</v>
      </c>
      <c r="G826" s="5">
        <f>(F826-F825)/$G$2/(D826-D825)*100</f>
        <v>10.217060594599</v>
      </c>
    </row>
    <row r="827" spans="1:7" x14ac:dyDescent="0.25">
      <c r="A827" s="2">
        <v>5</v>
      </c>
      <c r="B827" s="2" t="s">
        <v>45</v>
      </c>
      <c r="C827" s="2">
        <v>103</v>
      </c>
      <c r="D827" s="11">
        <v>1791328612.223998</v>
      </c>
      <c r="E827" s="7">
        <f>D827-D725</f>
        <v>111.972937583923</v>
      </c>
      <c r="F827" s="9">
        <v>2649</v>
      </c>
      <c r="G827" s="5">
        <f>(F827-F826)/$G$2/(D827-D826)*100</f>
        <v>7.59698162316658</v>
      </c>
    </row>
    <row r="828" spans="1:7" x14ac:dyDescent="0.25">
      <c r="A828" s="2">
        <v>5</v>
      </c>
      <c r="B828" s="2" t="s">
        <v>45</v>
      </c>
      <c r="C828" s="2">
        <v>104</v>
      </c>
      <c r="D828" s="11">
        <v>1791328613.3256361</v>
      </c>
      <c r="E828" s="7">
        <f>D828-D725</f>
        <v>113.074575662613</v>
      </c>
      <c r="F828" s="9">
        <v>2658</v>
      </c>
      <c r="G828" s="5">
        <f>(F828-F827)/$G$2/(D828-D827)*100</f>
        <v>8.16965224250937</v>
      </c>
    </row>
    <row r="829" spans="1:7" x14ac:dyDescent="0.25">
      <c r="A829" s="2">
        <v>5</v>
      </c>
      <c r="B829" s="2" t="s">
        <v>45</v>
      </c>
      <c r="C829" s="2">
        <v>105</v>
      </c>
      <c r="D829" s="11">
        <v>1791328614.4047382</v>
      </c>
      <c r="E829" s="7">
        <f>D829-D725</f>
        <v>114.15367770195</v>
      </c>
      <c r="F829" s="9">
        <v>2668</v>
      </c>
      <c r="G829" s="5">
        <f>(F829-F828)/$G$2/(D829-D828)*100</f>
        <v>9.26696423087341</v>
      </c>
    </row>
    <row r="830" spans="1:7" x14ac:dyDescent="0.25">
      <c r="A830" s="2">
        <v>5</v>
      </c>
      <c r="B830" s="2" t="s">
        <v>45</v>
      </c>
      <c r="C830" s="2">
        <v>106</v>
      </c>
      <c r="D830" s="11">
        <v>1791328615.5011857</v>
      </c>
      <c r="E830" s="7">
        <f>D830-D725</f>
        <v>115.250125169754</v>
      </c>
      <c r="F830" s="9">
        <v>2678</v>
      </c>
      <c r="G830" s="5">
        <f>(F830-F829)/$G$2/(D830-D829)*100</f>
        <v>9.1203639879152</v>
      </c>
    </row>
    <row r="831" spans="1:7" x14ac:dyDescent="0.25">
      <c r="A831" s="2">
        <v>5</v>
      </c>
      <c r="B831" s="2" t="s">
        <v>45</v>
      </c>
      <c r="C831" s="2">
        <v>107</v>
      </c>
      <c r="D831" s="11">
        <v>1791328616.6006868</v>
      </c>
      <c r="E831" s="7">
        <f>D831-D725</f>
        <v>116.349626302719</v>
      </c>
      <c r="F831" s="9">
        <v>2690</v>
      </c>
      <c r="G831" s="5">
        <f>(F831-F830)/$G$2/(D831-D830)*100</f>
        <v>10.9140405955189</v>
      </c>
    </row>
    <row r="832" spans="1:7" x14ac:dyDescent="0.25">
      <c r="A832" s="2">
        <v>5</v>
      </c>
      <c r="B832" s="2" t="s">
        <v>45</v>
      </c>
      <c r="C832" s="2">
        <v>108</v>
      </c>
      <c r="D832" s="11">
        <v>1791328617.6640835</v>
      </c>
      <c r="E832" s="7">
        <f>D832-D725</f>
        <v>117.413022994995</v>
      </c>
      <c r="F832" s="9">
        <v>2698</v>
      </c>
      <c r="G832" s="5">
        <f>(F832-F831)/$G$2/(D832-D831)*100</f>
        <v>7.5230627084964</v>
      </c>
    </row>
    <row r="833" spans="1:7" x14ac:dyDescent="0.25">
      <c r="A833" s="2">
        <v>5</v>
      </c>
      <c r="B833" s="2" t="s">
        <v>45</v>
      </c>
      <c r="C833" s="2">
        <v>109</v>
      </c>
      <c r="D833" s="11">
        <v>1791328618.7490845</v>
      </c>
      <c r="E833" s="7">
        <f>D833-D725</f>
        <v>118.498023986816</v>
      </c>
      <c r="F833" s="9">
        <v>2706</v>
      </c>
      <c r="G833" s="5">
        <f>(F833-F832)/$G$2/(D833-D832)*100</f>
        <v>7.37326514934438</v>
      </c>
    </row>
    <row r="834" spans="1:7" x14ac:dyDescent="0.25">
      <c r="A834" s="2">
        <v>5</v>
      </c>
      <c r="B834" s="2" t="s">
        <v>45</v>
      </c>
      <c r="C834" s="2">
        <v>110</v>
      </c>
      <c r="D834" s="11">
        <v>1791328619.8468063</v>
      </c>
      <c r="E834" s="7">
        <f>D834-D725</f>
        <v>119.595745801926</v>
      </c>
      <c r="F834" s="9">
        <v>2722</v>
      </c>
      <c r="G834" s="5">
        <f>(F834-F833)/$G$2/(D834-D833)*100</f>
        <v>14.5756418245251</v>
      </c>
    </row>
    <row r="835" spans="1:7" x14ac:dyDescent="0.25">
      <c r="A835" s="2">
        <v>5</v>
      </c>
      <c r="B835" s="2" t="s">
        <v>45</v>
      </c>
      <c r="C835" s="2">
        <v>111</v>
      </c>
      <c r="D835" s="11">
        <v>1791328620.9526215</v>
      </c>
      <c r="E835" s="7">
        <f>D835-D725</f>
        <v>120.701560974121</v>
      </c>
      <c r="F835" s="9">
        <v>2755</v>
      </c>
      <c r="G835" s="5">
        <f>(F835-F834)/$G$2/(D835-D834)*100</f>
        <v>29.8422384045277</v>
      </c>
    </row>
    <row r="836" spans="1:7" x14ac:dyDescent="0.25">
      <c r="A836" s="2">
        <v>5</v>
      </c>
      <c r="B836" s="2" t="s">
        <v>45</v>
      </c>
      <c r="C836" s="2">
        <v>112</v>
      </c>
      <c r="D836" s="11">
        <v>1791328622.0599332</v>
      </c>
      <c r="E836" s="7">
        <f>D836-D725</f>
        <v>121.808872699738</v>
      </c>
      <c r="F836" s="9">
        <v>2767</v>
      </c>
      <c r="G836" s="5">
        <f>(F836-F835)/$G$2/(D836-D835)*100</f>
        <v>10.8370567405664</v>
      </c>
    </row>
    <row r="837" spans="1:7" x14ac:dyDescent="0.25">
      <c r="A837" s="2">
        <v>5</v>
      </c>
      <c r="B837" s="2" t="s">
        <v>45</v>
      </c>
      <c r="C837" s="2">
        <v>113</v>
      </c>
      <c r="D837" s="11">
        <v>1791328623.1435325</v>
      </c>
      <c r="E837" s="7">
        <f>D837-D725</f>
        <v>122.892472028732</v>
      </c>
      <c r="F837" s="9">
        <v>2779</v>
      </c>
      <c r="G837" s="5">
        <f>(F837-F836)/$G$2/(D837-D836)*100</f>
        <v>11.074203978266</v>
      </c>
    </row>
    <row r="838" spans="1:7" x14ac:dyDescent="0.25">
      <c r="A838" s="2">
        <v>5</v>
      </c>
      <c r="B838" s="2" t="s">
        <v>45</v>
      </c>
      <c r="C838" s="2">
        <v>114</v>
      </c>
      <c r="D838" s="11">
        <v>1791328624.243692</v>
      </c>
      <c r="E838" s="7">
        <f>D838-D725</f>
        <v>123.992631435394</v>
      </c>
      <c r="F838" s="9">
        <v>2792</v>
      </c>
      <c r="G838" s="5">
        <f>(F838-F837)/$G$2/(D838-D837)*100</f>
        <v>11.8164694327739</v>
      </c>
    </row>
    <row r="839" spans="1:7" x14ac:dyDescent="0.25">
      <c r="A839" s="2">
        <v>5</v>
      </c>
      <c r="B839" s="2" t="s">
        <v>45</v>
      </c>
      <c r="C839" s="2">
        <v>115</v>
      </c>
      <c r="D839" s="11">
        <v>1791328625.3523083</v>
      </c>
      <c r="E839" s="7">
        <f>D839-D725</f>
        <v>125.101247787476</v>
      </c>
      <c r="F839" s="9">
        <v>2809</v>
      </c>
      <c r="G839" s="5">
        <f>(F839-F838)/$G$2/(D839-D838)*100</f>
        <v>15.3344301372467</v>
      </c>
    </row>
    <row r="840" spans="1:7" x14ac:dyDescent="0.25">
      <c r="A840" s="2">
        <v>5</v>
      </c>
      <c r="B840" s="2" t="s">
        <v>45</v>
      </c>
      <c r="C840" s="2">
        <v>116</v>
      </c>
      <c r="D840" s="11">
        <v>1791328626.4580839</v>
      </c>
      <c r="E840" s="7">
        <f>D840-D725</f>
        <v>126.207023382187</v>
      </c>
      <c r="F840" s="9">
        <v>2822</v>
      </c>
      <c r="G840" s="5">
        <f>(F840-F839)/$G$2/(D840-D839)*100</f>
        <v>11.756454078184</v>
      </c>
    </row>
    <row r="841" spans="1:7" x14ac:dyDescent="0.25">
      <c r="A841" s="2">
        <v>5</v>
      </c>
      <c r="B841" s="2" t="s">
        <v>45</v>
      </c>
      <c r="C841" s="2">
        <v>117</v>
      </c>
      <c r="D841" s="11">
        <v>1791328627.5615635</v>
      </c>
      <c r="E841" s="7">
        <f>D841-D725</f>
        <v>127.310503005981</v>
      </c>
      <c r="F841" s="9">
        <v>2835</v>
      </c>
      <c r="G841" s="5">
        <f>(F841-F840)/$G$2/(D841-D840)*100</f>
        <v>11.780915315225</v>
      </c>
    </row>
    <row r="842" spans="1:7" x14ac:dyDescent="0.25">
      <c r="A842" s="2">
        <v>5</v>
      </c>
      <c r="B842" s="2" t="s">
        <v>45</v>
      </c>
      <c r="C842" s="2">
        <v>118</v>
      </c>
      <c r="D842" s="11">
        <v>1791328628.6704674</v>
      </c>
      <c r="E842" s="7">
        <f>D842-D725</f>
        <v>128.419406890869</v>
      </c>
      <c r="F842" s="9">
        <v>2848</v>
      </c>
      <c r="G842" s="5">
        <f>(F842-F841)/$G$2/(D842-D841)*100</f>
        <v>11.7232883545327</v>
      </c>
    </row>
    <row r="843" spans="1:7" x14ac:dyDescent="0.25">
      <c r="A843" s="2">
        <v>5</v>
      </c>
      <c r="B843" s="2" t="s">
        <v>45</v>
      </c>
      <c r="C843" s="2">
        <v>119</v>
      </c>
      <c r="D843" s="11">
        <v>1791328629.7691677</v>
      </c>
      <c r="E843" s="7">
        <f>D843-D725</f>
        <v>129.518107175827</v>
      </c>
      <c r="F843" s="9">
        <v>2859</v>
      </c>
      <c r="G843" s="5">
        <f>(F843-F842)/$G$2/(D843-D842)*100</f>
        <v>10.0118295686268</v>
      </c>
    </row>
    <row r="844" spans="1:7" x14ac:dyDescent="0.25">
      <c r="A844" s="2">
        <v>5</v>
      </c>
      <c r="B844" s="2" t="s">
        <v>45</v>
      </c>
      <c r="C844" s="2">
        <v>120</v>
      </c>
      <c r="D844" s="11">
        <v>1791328630.879199</v>
      </c>
      <c r="E844" s="7">
        <f>D844-D725</f>
        <v>130.628138542175</v>
      </c>
      <c r="F844" s="9">
        <v>2869</v>
      </c>
      <c r="G844" s="5">
        <f>(F844-F843)/$G$2/(D844-D843)*100</f>
        <v>9.0087544398836</v>
      </c>
    </row>
    <row r="845" spans="1:7" x14ac:dyDescent="0.25">
      <c r="A845" s="2">
        <v>5</v>
      </c>
      <c r="B845" s="2" t="s">
        <v>45</v>
      </c>
      <c r="C845" s="2">
        <v>121</v>
      </c>
      <c r="D845" s="11">
        <v>1791328632.0152557</v>
      </c>
      <c r="E845" s="7">
        <f>D845-D725</f>
        <v>131.764195203781</v>
      </c>
      <c r="F845" s="9">
        <v>2880</v>
      </c>
      <c r="G845" s="5">
        <f>(F845-F844)/$G$2/(D845-D844)*100</f>
        <v>9.68261564036016</v>
      </c>
    </row>
    <row r="846" spans="1:7" x14ac:dyDescent="0.25">
      <c r="A846" s="2">
        <v>5</v>
      </c>
      <c r="B846" s="2" t="s">
        <v>45</v>
      </c>
      <c r="C846" s="2">
        <v>122</v>
      </c>
      <c r="D846" s="11">
        <v>1791328633.0972917</v>
      </c>
      <c r="E846" s="7">
        <f>D846-D725</f>
        <v>132.846231222153</v>
      </c>
      <c r="F846" s="9">
        <v>2915</v>
      </c>
      <c r="G846" s="5">
        <f>(F846-F845)/$G$2/(D846-D845)*100</f>
        <v>32.3464278505936</v>
      </c>
    </row>
    <row r="847" spans="1:7" x14ac:dyDescent="0.25">
      <c r="A847" s="2">
        <v>5</v>
      </c>
      <c r="B847" s="2" t="s">
        <v>45</v>
      </c>
      <c r="C847" s="2">
        <v>123</v>
      </c>
      <c r="D847" s="11">
        <v>1791328634.2044907</v>
      </c>
      <c r="E847" s="7">
        <f>D847-D725</f>
        <v>133.953430175781</v>
      </c>
      <c r="F847" s="9">
        <v>2927</v>
      </c>
      <c r="G847" s="5">
        <f>(F847-F846)/$G$2/(D847-D846)*100</f>
        <v>10.8381605317394</v>
      </c>
    </row>
    <row r="848" spans="1:7" x14ac:dyDescent="0.25">
      <c r="A848" s="2">
        <v>5</v>
      </c>
      <c r="B848" s="2" t="s">
        <v>45</v>
      </c>
      <c r="C848" s="2">
        <v>124</v>
      </c>
      <c r="D848" s="11">
        <v>1791328635.30826</v>
      </c>
      <c r="E848" s="7">
        <f>D848-D725</f>
        <v>135.057199478149</v>
      </c>
      <c r="F848" s="9">
        <v>2946</v>
      </c>
      <c r="G848" s="5">
        <f>(F848-F847)/$G$2/(D848-D847)*100</f>
        <v>17.2137420013721</v>
      </c>
    </row>
    <row r="849" spans="1:7" x14ac:dyDescent="0.25">
      <c r="A849" s="2">
        <v>5</v>
      </c>
      <c r="B849" s="2" t="s">
        <v>45</v>
      </c>
      <c r="C849" s="2">
        <v>125</v>
      </c>
      <c r="D849" s="11">
        <v>1791328636.4052527</v>
      </c>
      <c r="E849" s="7">
        <f>D849-D725</f>
        <v>136.154192209244</v>
      </c>
      <c r="F849" s="9">
        <v>2959</v>
      </c>
      <c r="G849" s="5">
        <f>(F849-F848)/$G$2/(D849-D848)*100</f>
        <v>11.8505798912917</v>
      </c>
    </row>
    <row r="850" spans="1:7" x14ac:dyDescent="0.25">
      <c r="A850" s="2">
        <v>5</v>
      </c>
      <c r="B850" s="2" t="s">
        <v>45</v>
      </c>
      <c r="C850" s="2">
        <v>126</v>
      </c>
      <c r="D850" s="11">
        <v>1791328637.5059757</v>
      </c>
      <c r="E850" s="7">
        <f>D850-D725</f>
        <v>137.254915237427</v>
      </c>
      <c r="F850" s="9">
        <v>2967</v>
      </c>
      <c r="G850" s="5">
        <f>(F850-F849)/$G$2/(D850-D849)*100</f>
        <v>7.26795006115752</v>
      </c>
    </row>
    <row r="851" spans="1:7" x14ac:dyDescent="0.25">
      <c r="A851" s="2">
        <v>5</v>
      </c>
      <c r="B851" s="2" t="s">
        <v>45</v>
      </c>
      <c r="C851" s="2">
        <v>127</v>
      </c>
      <c r="D851" s="11">
        <v>1791328638.5845833</v>
      </c>
      <c r="E851" s="7">
        <f>D851-D725</f>
        <v>138.333522796631</v>
      </c>
      <c r="F851" s="9">
        <v>2976</v>
      </c>
      <c r="G851" s="5">
        <f>(F851-F850)/$G$2/(D851-D850)*100</f>
        <v>8.34409134555023</v>
      </c>
    </row>
    <row r="852" spans="1:7" x14ac:dyDescent="0.25">
      <c r="A852" s="2">
        <v>5</v>
      </c>
      <c r="B852" s="2" t="s">
        <v>45</v>
      </c>
      <c r="C852" s="2">
        <v>128</v>
      </c>
      <c r="D852" s="11">
        <v>1791328639.6903205</v>
      </c>
      <c r="E852" s="7">
        <f>D852-D725</f>
        <v>139.439260005951</v>
      </c>
      <c r="F852" s="9">
        <v>2989</v>
      </c>
      <c r="G852" s="5">
        <f>(F852-F851)/$G$2/(D852-D851)*100</f>
        <v>11.7568622005529</v>
      </c>
    </row>
    <row r="853" spans="1:7" x14ac:dyDescent="0.25">
      <c r="A853" s="2">
        <v>5</v>
      </c>
      <c r="B853" s="2" t="s">
        <v>45</v>
      </c>
      <c r="C853" s="2">
        <v>129</v>
      </c>
      <c r="D853" s="11">
        <v>1791328640.7967145</v>
      </c>
      <c r="E853" s="7">
        <f>D853-D725</f>
        <v>140.545654058456</v>
      </c>
      <c r="F853" s="9">
        <v>3003</v>
      </c>
      <c r="G853" s="5">
        <f>(F853-F852)/$G$2/(D853-D852)*100</f>
        <v>12.6537195028265</v>
      </c>
    </row>
    <row r="854" spans="1:7" x14ac:dyDescent="0.25">
      <c r="A854" s="2">
        <v>5</v>
      </c>
      <c r="B854" s="2" t="s">
        <v>45</v>
      </c>
      <c r="C854" s="2">
        <v>130</v>
      </c>
      <c r="D854" s="11">
        <v>1791328641.8955774</v>
      </c>
      <c r="E854" s="7">
        <f>D854-D725</f>
        <v>141.644516944885</v>
      </c>
      <c r="F854" s="9">
        <v>3013</v>
      </c>
      <c r="G854" s="5">
        <f>(F854-F853)/$G$2/(D854-D853)*100</f>
        <v>9.10031644848681</v>
      </c>
    </row>
    <row r="855" spans="1:7" x14ac:dyDescent="0.25">
      <c r="A855" s="2">
        <v>5</v>
      </c>
      <c r="B855" s="2" t="s">
        <v>45</v>
      </c>
      <c r="C855" s="2">
        <v>131</v>
      </c>
      <c r="D855" s="11">
        <v>1791328643.0156264</v>
      </c>
      <c r="E855" s="7">
        <f>D855-D725</f>
        <v>142.764565944672</v>
      </c>
      <c r="F855" s="9">
        <v>3026</v>
      </c>
      <c r="G855" s="5">
        <f>(F855-F854)/$G$2/(D855-D854)*100</f>
        <v>11.6066350690724</v>
      </c>
    </row>
    <row r="856" spans="1:7" x14ac:dyDescent="0.25">
      <c r="A856" s="2">
        <v>5</v>
      </c>
      <c r="B856" s="2" t="s">
        <v>45</v>
      </c>
      <c r="C856" s="2">
        <v>132</v>
      </c>
      <c r="D856" s="11">
        <v>1791328644.1225994</v>
      </c>
      <c r="E856" s="7">
        <f>D856-D725</f>
        <v>143.871538877487</v>
      </c>
      <c r="F856" s="9">
        <v>3042</v>
      </c>
      <c r="G856" s="5">
        <f>(F856-F855)/$G$2/(D856-D855)*100</f>
        <v>14.4538312777933</v>
      </c>
    </row>
    <row r="857" spans="1:7" x14ac:dyDescent="0.25">
      <c r="A857" s="2">
        <v>5</v>
      </c>
      <c r="B857" s="2" t="s">
        <v>45</v>
      </c>
      <c r="C857" s="2">
        <v>133</v>
      </c>
      <c r="D857" s="11">
        <v>1791328645.187272</v>
      </c>
      <c r="E857" s="7">
        <f>D857-D725</f>
        <v>144.936211585999</v>
      </c>
      <c r="F857" s="9">
        <v>3059</v>
      </c>
      <c r="G857" s="5">
        <f>(F857-F856)/$G$2/(D857-D856)*100</f>
        <v>15.9673483354051</v>
      </c>
    </row>
    <row r="858" spans="1:7" x14ac:dyDescent="0.25">
      <c r="A858" s="2">
        <v>5</v>
      </c>
      <c r="B858" s="2" t="s">
        <v>45</v>
      </c>
      <c r="C858" s="2">
        <v>134</v>
      </c>
      <c r="D858" s="11">
        <v>1791328646.2645645</v>
      </c>
      <c r="E858" s="7">
        <f>D858-D725</f>
        <v>146.01350402832</v>
      </c>
      <c r="F858" s="9">
        <v>3069</v>
      </c>
      <c r="G858" s="5">
        <f>(F858-F857)/$G$2/(D858-D857)*100</f>
        <v>9.28253054337598</v>
      </c>
    </row>
    <row r="859" spans="1:7" x14ac:dyDescent="0.25">
      <c r="A859" s="2">
        <v>5</v>
      </c>
      <c r="B859" s="2" t="s">
        <v>45</v>
      </c>
      <c r="C859" s="2">
        <v>135</v>
      </c>
      <c r="D859" s="11">
        <v>1791328647.360862</v>
      </c>
      <c r="E859" s="7">
        <f>D859-D725</f>
        <v>147.109801530838</v>
      </c>
      <c r="F859" s="9">
        <v>3078</v>
      </c>
      <c r="G859" s="5">
        <f>(F859-F858)/$G$2/(D859-D858)*100</f>
        <v>8.20945042685135</v>
      </c>
    </row>
    <row r="860" spans="1:7" x14ac:dyDescent="0.25">
      <c r="A860" s="2">
        <v>5</v>
      </c>
      <c r="B860" s="2" t="s">
        <v>45</v>
      </c>
      <c r="C860" s="2">
        <v>136</v>
      </c>
      <c r="D860" s="11">
        <v>1791328648.4539638</v>
      </c>
      <c r="E860" s="7">
        <f>D860-D725</f>
        <v>148.202903270721</v>
      </c>
      <c r="F860" s="9">
        <v>3087</v>
      </c>
      <c r="G860" s="5">
        <f>(F860-F859)/$G$2/(D860-D859)*100</f>
        <v>8.23345135372288</v>
      </c>
    </row>
    <row r="861" spans="1:7" x14ac:dyDescent="0.25">
      <c r="A861" s="2">
        <v>5</v>
      </c>
      <c r="B861" s="2" t="s">
        <v>45</v>
      </c>
      <c r="C861" s="2">
        <v>137</v>
      </c>
      <c r="D861" s="11">
        <v>1791328649.5602288</v>
      </c>
      <c r="E861" s="7">
        <f>D861-D725</f>
        <v>149.309168338776</v>
      </c>
      <c r="F861" s="9">
        <v>3093</v>
      </c>
      <c r="G861" s="5">
        <f>(F861-F860)/$G$2/(D861-D860)*100</f>
        <v>5.42365493882343</v>
      </c>
    </row>
    <row r="862" spans="1:7" x14ac:dyDescent="0.25">
      <c r="A862" s="2">
        <v>5</v>
      </c>
      <c r="B862" s="2" t="s">
        <v>45</v>
      </c>
      <c r="C862" s="2">
        <v>138</v>
      </c>
      <c r="D862" s="11">
        <v>1791328650.6691935</v>
      </c>
      <c r="E862" s="7">
        <f>D862-D725</f>
        <v>150.418133020401</v>
      </c>
      <c r="F862" s="9">
        <v>3111</v>
      </c>
      <c r="G862" s="5">
        <f>(F862-F861)/$G$2/(D862-D861)*100</f>
        <v>16.2313555140621</v>
      </c>
    </row>
    <row r="863" spans="1:7" x14ac:dyDescent="0.25">
      <c r="A863" s="2">
        <v>5</v>
      </c>
      <c r="B863" s="2" t="s">
        <v>45</v>
      </c>
      <c r="C863" s="2">
        <v>139</v>
      </c>
      <c r="D863" s="11">
        <v>1791328651.769193</v>
      </c>
      <c r="E863" s="7">
        <f>D863-D725</f>
        <v>151.518132448196</v>
      </c>
      <c r="F863" s="9">
        <v>3119</v>
      </c>
      <c r="G863" s="5">
        <f>(F863-F862)/$G$2/(D863-D862)*100</f>
        <v>7.27273105590008</v>
      </c>
    </row>
    <row r="864" spans="1:7" x14ac:dyDescent="0.25">
      <c r="A864" s="2">
        <v>5</v>
      </c>
      <c r="B864" s="2" t="s">
        <v>45</v>
      </c>
      <c r="C864" s="2">
        <v>140</v>
      </c>
      <c r="D864" s="11">
        <v>1791328652.8499784</v>
      </c>
      <c r="E864" s="7">
        <f>D864-D725</f>
        <v>152.598917961121</v>
      </c>
      <c r="F864" s="9">
        <v>3123</v>
      </c>
      <c r="G864" s="5">
        <f>(F864-F863)/$G$2/(D864-D863)*100</f>
        <v>3.70101185865965</v>
      </c>
    </row>
    <row r="865" spans="1:7" x14ac:dyDescent="0.25">
      <c r="A865" s="2">
        <v>5</v>
      </c>
      <c r="B865" s="2" t="s">
        <v>45</v>
      </c>
      <c r="C865" s="2">
        <v>141</v>
      </c>
      <c r="D865" s="11">
        <v>1791328653.9425244</v>
      </c>
      <c r="E865" s="7">
        <f>D865-D725</f>
        <v>153.691463947296</v>
      </c>
      <c r="F865" s="9">
        <v>3130</v>
      </c>
      <c r="G865" s="5">
        <f>(F865-F864)/$G$2/(D865-D864)*100</f>
        <v>6.40705296488575</v>
      </c>
    </row>
    <row r="866" spans="1:7" x14ac:dyDescent="0.25">
      <c r="A866" s="2">
        <v>5</v>
      </c>
      <c r="B866" s="2" t="s">
        <v>45</v>
      </c>
      <c r="C866" s="2">
        <v>142</v>
      </c>
      <c r="D866" s="11">
        <v>1791328655.038243</v>
      </c>
      <c r="E866" s="7">
        <f>D866-D725</f>
        <v>154.787182569504</v>
      </c>
      <c r="F866" s="9">
        <v>3144</v>
      </c>
      <c r="G866" s="5">
        <f>(F866-F865)/$G$2/(D866-D865)*100</f>
        <v>12.777002887651</v>
      </c>
    </row>
    <row r="867" spans="1:7" x14ac:dyDescent="0.25">
      <c r="A867" s="2">
        <v>5</v>
      </c>
      <c r="B867" s="2" t="s">
        <v>45</v>
      </c>
      <c r="C867" s="2">
        <v>143</v>
      </c>
      <c r="D867" s="11">
        <v>1791328656.1307395</v>
      </c>
      <c r="E867" s="7">
        <f>D867-D725</f>
        <v>155.879678964615</v>
      </c>
      <c r="F867" s="9">
        <v>3158</v>
      </c>
      <c r="G867" s="5">
        <f>(F867-F866)/$G$2/(D867-D866)*100</f>
        <v>12.8146875931581</v>
      </c>
    </row>
    <row r="868" spans="1:7" x14ac:dyDescent="0.25">
      <c r="A868" s="2">
        <v>5</v>
      </c>
      <c r="B868" s="2" t="s">
        <v>45</v>
      </c>
      <c r="C868" s="2">
        <v>144</v>
      </c>
      <c r="D868" s="11">
        <v>1791328657.2166424</v>
      </c>
      <c r="E868" s="7">
        <f>D868-D725</f>
        <v>156.965581893921</v>
      </c>
      <c r="F868" s="9">
        <v>3186</v>
      </c>
      <c r="G868" s="5">
        <f>(F868-F867)/$G$2/(D868-D867)*100</f>
        <v>25.7849935241394</v>
      </c>
    </row>
    <row r="869" spans="1:7" x14ac:dyDescent="0.25">
      <c r="A869" s="2">
        <v>5</v>
      </c>
      <c r="B869" s="2" t="s">
        <v>45</v>
      </c>
      <c r="C869" s="2">
        <v>145</v>
      </c>
      <c r="D869" s="11">
        <v>1791328658.2988317</v>
      </c>
      <c r="E869" s="7">
        <f>D869-D725</f>
        <v>158.047771215439</v>
      </c>
      <c r="F869" s="9">
        <v>3197</v>
      </c>
      <c r="G869" s="5">
        <f>(F869-F868)/$G$2/(D869-D868)*100</f>
        <v>10.164580061251</v>
      </c>
    </row>
    <row r="870" spans="1:7" x14ac:dyDescent="0.25">
      <c r="A870" s="2">
        <v>5</v>
      </c>
      <c r="B870" s="2" t="s">
        <v>45</v>
      </c>
      <c r="C870" s="2">
        <v>146</v>
      </c>
      <c r="D870" s="11">
        <v>1791328659.3732</v>
      </c>
      <c r="E870" s="7">
        <f>D870-D725</f>
        <v>159.122139453888</v>
      </c>
      <c r="F870" s="9">
        <v>3207</v>
      </c>
      <c r="G870" s="5">
        <f>(F870-F869)/$G$2/(D870-D869)*100</f>
        <v>9.30779563479603</v>
      </c>
    </row>
    <row r="871" spans="1:7" x14ac:dyDescent="0.25">
      <c r="A871" s="2">
        <v>5</v>
      </c>
      <c r="B871" s="2" t="s">
        <v>45</v>
      </c>
      <c r="C871" s="2">
        <v>147</v>
      </c>
      <c r="D871" s="11">
        <v>1791328660.471128</v>
      </c>
      <c r="E871" s="7">
        <f>D871-D725</f>
        <v>160.220067501068</v>
      </c>
      <c r="F871" s="9">
        <v>3216</v>
      </c>
      <c r="G871" s="5">
        <f>(F871-F870)/$G$2/(D871-D870)*100</f>
        <v>8.19725848439233</v>
      </c>
    </row>
    <row r="872" spans="1:7" x14ac:dyDescent="0.25">
      <c r="A872" s="2">
        <v>5</v>
      </c>
      <c r="B872" s="2" t="s">
        <v>45</v>
      </c>
      <c r="C872" s="2">
        <v>148</v>
      </c>
      <c r="D872" s="11">
        <v>1791328661.563254</v>
      </c>
      <c r="E872" s="7">
        <f>D872-D725</f>
        <v>161.312193632126</v>
      </c>
      <c r="F872" s="9">
        <v>3228</v>
      </c>
      <c r="G872" s="5">
        <f>(F872-F871)/$G$2/(D872-D871)*100</f>
        <v>10.9877418539357</v>
      </c>
    </row>
    <row r="873" spans="1:7" x14ac:dyDescent="0.25">
      <c r="A873" s="2">
        <v>5</v>
      </c>
      <c r="B873" s="2" t="s">
        <v>45</v>
      </c>
      <c r="C873" s="2">
        <v>149</v>
      </c>
      <c r="D873" s="11">
        <v>1791328662.665251</v>
      </c>
      <c r="E873" s="7">
        <f>D873-D725</f>
        <v>162.414190530777</v>
      </c>
      <c r="F873" s="9">
        <v>3240</v>
      </c>
      <c r="G873" s="5">
        <f>(F873-F872)/$G$2/(D873-D872)*100</f>
        <v>10.8893228417325</v>
      </c>
    </row>
    <row r="874" spans="1:7" x14ac:dyDescent="0.25">
      <c r="A874" s="2">
        <v>5</v>
      </c>
      <c r="B874" s="2" t="s">
        <v>45</v>
      </c>
      <c r="C874" s="2">
        <v>150</v>
      </c>
      <c r="D874" s="11">
        <v>1791328663.7699523</v>
      </c>
      <c r="E874" s="7">
        <f>D874-D725</f>
        <v>163.518891811371</v>
      </c>
      <c r="F874" s="9">
        <v>3251</v>
      </c>
      <c r="G874" s="5">
        <f>(F874-F873)/$G$2/(D874-D873)*100</f>
        <v>9.95744296963841</v>
      </c>
    </row>
    <row r="875" spans="1:7" x14ac:dyDescent="0.25">
      <c r="A875" s="2">
        <v>5</v>
      </c>
      <c r="B875" s="2" t="s">
        <v>45</v>
      </c>
      <c r="C875" s="2">
        <v>151</v>
      </c>
      <c r="D875" s="11">
        <v>1791328664.9042494</v>
      </c>
      <c r="E875" s="7">
        <f>D875-D725</f>
        <v>164.653188943863</v>
      </c>
      <c r="F875" s="9">
        <v>3269</v>
      </c>
      <c r="G875" s="5">
        <f>(F875-F874)/$G$2/(D875-D874)*100</f>
        <v>15.8688578895142</v>
      </c>
    </row>
    <row r="876" spans="1:7" x14ac:dyDescent="0.25">
      <c r="A876" s="2">
        <v>5</v>
      </c>
      <c r="B876" s="2" t="s">
        <v>45</v>
      </c>
      <c r="C876" s="2">
        <v>152</v>
      </c>
      <c r="D876" s="11">
        <v>1791328666.0129037</v>
      </c>
      <c r="E876" s="7">
        <f>D876-D725</f>
        <v>165.761843204498</v>
      </c>
      <c r="F876" s="9">
        <v>3281</v>
      </c>
      <c r="G876" s="5">
        <f>(F876-F875)/$G$2/(D876-D875)*100</f>
        <v>10.8239335075687</v>
      </c>
    </row>
    <row r="877" spans="1:7" x14ac:dyDescent="0.25">
      <c r="A877" s="2">
        <v>5</v>
      </c>
      <c r="B877" s="2" t="s">
        <v>45</v>
      </c>
      <c r="C877" s="2">
        <v>153</v>
      </c>
      <c r="D877" s="11">
        <v>1791328667.1208248</v>
      </c>
      <c r="E877" s="7">
        <f>D877-D725</f>
        <v>166.869764328003</v>
      </c>
      <c r="F877" s="9">
        <v>3294</v>
      </c>
      <c r="G877" s="5">
        <f>(F877-F876)/$G$2/(D877-D876)*100</f>
        <v>11.7336872853165</v>
      </c>
    </row>
    <row r="878" spans="1:7" x14ac:dyDescent="0.25">
      <c r="A878" s="2">
        <v>5</v>
      </c>
      <c r="B878" s="2" t="s">
        <v>45</v>
      </c>
      <c r="C878" s="2">
        <v>154</v>
      </c>
      <c r="D878" s="11">
        <v>1791328668.2175455</v>
      </c>
      <c r="E878" s="7">
        <f>D878-D725</f>
        <v>167.966485023499</v>
      </c>
      <c r="F878" s="9">
        <v>3310</v>
      </c>
      <c r="G878" s="5">
        <f>(F878-F877)/$G$2/(D878-D877)*100</f>
        <v>14.5889469084648</v>
      </c>
    </row>
    <row r="879" spans="1:7" x14ac:dyDescent="0.25">
      <c r="A879" s="2">
        <v>5</v>
      </c>
      <c r="B879" s="2" t="s">
        <v>45</v>
      </c>
      <c r="C879" s="2">
        <v>155</v>
      </c>
      <c r="D879" s="11">
        <v>1791328669.2981064</v>
      </c>
      <c r="E879" s="7">
        <f>D879-D725</f>
        <v>169.047045946121</v>
      </c>
      <c r="F879" s="9">
        <v>3334</v>
      </c>
      <c r="G879" s="5">
        <f>(F879-F878)/$G$2/(D879-D878)*100</f>
        <v>22.2106865957622</v>
      </c>
    </row>
    <row r="880" spans="1:7" x14ac:dyDescent="0.25">
      <c r="A880" s="2">
        <v>5</v>
      </c>
      <c r="B880" s="2" t="s">
        <v>45</v>
      </c>
      <c r="C880" s="2">
        <v>156</v>
      </c>
      <c r="D880" s="11">
        <v>1791328670.406354</v>
      </c>
      <c r="E880" s="7">
        <f>D880-D725</f>
        <v>170.155293464661</v>
      </c>
      <c r="F880" s="9">
        <v>3353</v>
      </c>
      <c r="G880" s="5">
        <f>(F880-F879)/$G$2/(D880-D879)*100</f>
        <v>17.1441845636075</v>
      </c>
    </row>
    <row r="881" spans="1:7" x14ac:dyDescent="0.25">
      <c r="A881" s="2">
        <v>5</v>
      </c>
      <c r="B881" s="2" t="s">
        <v>45</v>
      </c>
      <c r="C881" s="2">
        <v>157</v>
      </c>
      <c r="D881" s="11">
        <v>1791328671.4629097</v>
      </c>
      <c r="E881" s="7">
        <f>D881-D725</f>
        <v>171.211849212647</v>
      </c>
      <c r="F881" s="9">
        <v>3363</v>
      </c>
      <c r="G881" s="5">
        <f>(F881-F880)/$G$2/(D881-D880)*100</f>
        <v>9.46471591211676</v>
      </c>
    </row>
    <row r="882" spans="1:7" x14ac:dyDescent="0.25">
      <c r="A882" s="2">
        <v>5</v>
      </c>
      <c r="B882" s="2" t="s">
        <v>45</v>
      </c>
      <c r="C882" s="2">
        <v>158</v>
      </c>
      <c r="D882" s="11">
        <v>1791328672.5452225</v>
      </c>
      <c r="E882" s="7">
        <f>D882-D725</f>
        <v>172.294162034988</v>
      </c>
      <c r="F882" s="9">
        <v>3374</v>
      </c>
      <c r="G882" s="5">
        <f>(F882-F881)/$G$2/(D882-D881)*100</f>
        <v>10.1634201987907</v>
      </c>
    </row>
    <row r="883" spans="1:7" x14ac:dyDescent="0.25">
      <c r="A883" s="2">
        <v>5</v>
      </c>
      <c r="B883" s="2" t="s">
        <v>45</v>
      </c>
      <c r="C883" s="2">
        <v>159</v>
      </c>
      <c r="D883" s="11">
        <v>1791328673.6177661</v>
      </c>
      <c r="E883" s="7">
        <f>D883-D725</f>
        <v>173.366705656052</v>
      </c>
      <c r="F883" s="9">
        <v>3384</v>
      </c>
      <c r="G883" s="5">
        <f>(F883-F882)/$G$2/(D883-D882)*100</f>
        <v>9.32363011034163</v>
      </c>
    </row>
    <row r="884" spans="1:7" x14ac:dyDescent="0.25">
      <c r="A884" s="2">
        <v>5</v>
      </c>
      <c r="B884" s="2" t="s">
        <v>45</v>
      </c>
      <c r="C884" s="2">
        <v>160</v>
      </c>
      <c r="D884" s="11">
        <v>1791328674.700909</v>
      </c>
      <c r="E884" s="7">
        <f>D884-D725</f>
        <v>174.449848413467</v>
      </c>
      <c r="F884" s="9">
        <v>3396</v>
      </c>
      <c r="G884" s="5">
        <f>(F884-F883)/$G$2/(D884-D883)*100</f>
        <v>11.078872030341</v>
      </c>
    </row>
    <row r="885" spans="1:7" x14ac:dyDescent="0.25">
      <c r="A885" s="2">
        <v>5</v>
      </c>
      <c r="B885" s="2" t="s">
        <v>45</v>
      </c>
      <c r="C885" s="2">
        <v>161</v>
      </c>
      <c r="D885" s="11">
        <v>1791328675.8420658</v>
      </c>
      <c r="E885" s="7">
        <f>D885-D725</f>
        <v>175.591005325317</v>
      </c>
      <c r="F885" s="9">
        <v>3409</v>
      </c>
      <c r="G885" s="5">
        <f>(F885-F884)/$G$2/(D885-D884)*100</f>
        <v>11.3919478250587</v>
      </c>
    </row>
    <row r="886" spans="1:7" x14ac:dyDescent="0.25">
      <c r="A886" s="2">
        <v>5</v>
      </c>
      <c r="B886" s="2" t="s">
        <v>45</v>
      </c>
      <c r="C886" s="2">
        <v>162</v>
      </c>
      <c r="D886" s="11">
        <v>1791328676.9490018</v>
      </c>
      <c r="E886" s="7">
        <f>D886-D725</f>
        <v>176.697941303253</v>
      </c>
      <c r="F886" s="9">
        <v>3421</v>
      </c>
      <c r="G886" s="5">
        <f>(F886-F885)/$G$2/(D886-D885)*100</f>
        <v>10.840735362471</v>
      </c>
    </row>
    <row r="887" spans="1:7" x14ac:dyDescent="0.25">
      <c r="A887" s="2">
        <v>5</v>
      </c>
      <c r="B887" s="2" t="s">
        <v>45</v>
      </c>
      <c r="C887" s="2">
        <v>163</v>
      </c>
      <c r="D887" s="11">
        <v>1791328678.059357</v>
      </c>
      <c r="E887" s="7">
        <f>D887-D725</f>
        <v>177.808296442032</v>
      </c>
      <c r="F887" s="9">
        <v>3433</v>
      </c>
      <c r="G887" s="5">
        <f>(F887-F886)/$G$2/(D887-D886)*100</f>
        <v>10.8073530539059</v>
      </c>
    </row>
    <row r="888" spans="1:7" x14ac:dyDescent="0.25">
      <c r="A888" s="2">
        <v>5</v>
      </c>
      <c r="B888" s="2" t="s">
        <v>45</v>
      </c>
      <c r="C888" s="2">
        <v>164</v>
      </c>
      <c r="D888" s="11">
        <v>1791328679.1716425</v>
      </c>
      <c r="E888" s="7">
        <f>D888-D725</f>
        <v>178.920582056046</v>
      </c>
      <c r="F888" s="9">
        <v>3444</v>
      </c>
      <c r="G888" s="5">
        <f>(F888-F887)/$G$2/(D888-D887)*100</f>
        <v>9.88954622932379</v>
      </c>
    </row>
    <row r="889" spans="1:7" x14ac:dyDescent="0.25">
      <c r="A889" s="2">
        <v>5</v>
      </c>
      <c r="B889" s="2" t="s">
        <v>45</v>
      </c>
      <c r="C889" s="2">
        <v>165</v>
      </c>
      <c r="D889" s="11">
        <v>1791328680.2773242</v>
      </c>
      <c r="E889" s="7">
        <f>D889-D725</f>
        <v>180.026263713837</v>
      </c>
      <c r="F889" s="9">
        <v>3469</v>
      </c>
      <c r="G889" s="5">
        <f>(F889-F888)/$G$2/(D889-D888)*100</f>
        <v>22.6104863220246</v>
      </c>
    </row>
    <row r="890" spans="1:7" x14ac:dyDescent="0.25">
      <c r="A890" s="2">
        <v>5</v>
      </c>
      <c r="B890" s="2" t="s">
        <v>45</v>
      </c>
      <c r="C890" s="2">
        <v>166</v>
      </c>
      <c r="D890" s="11">
        <v>1791328681.390919</v>
      </c>
      <c r="E890" s="7">
        <f>D890-D725</f>
        <v>181.139858484268</v>
      </c>
      <c r="F890" s="9">
        <v>3489</v>
      </c>
      <c r="G890" s="5">
        <f>(F890-F889)/$G$2/(D890-D889)*100</f>
        <v>17.9598544560783</v>
      </c>
    </row>
    <row r="891" spans="1:7" x14ac:dyDescent="0.25">
      <c r="A891" s="2">
        <v>5</v>
      </c>
      <c r="B891" s="2" t="s">
        <v>45</v>
      </c>
      <c r="C891" s="2">
        <v>167</v>
      </c>
      <c r="D891" s="11">
        <v>1791328682.499665</v>
      </c>
      <c r="E891" s="7">
        <f>D891-D725</f>
        <v>182.248604536057</v>
      </c>
      <c r="F891" s="9">
        <v>3501</v>
      </c>
      <c r="G891" s="5">
        <f>(F891-F890)/$G$2/(D891-D890)*100</f>
        <v>10.8230374129809</v>
      </c>
    </row>
    <row r="892" spans="1:7" x14ac:dyDescent="0.25">
      <c r="A892" s="2">
        <v>5</v>
      </c>
      <c r="B892" s="2" t="s">
        <v>45</v>
      </c>
      <c r="C892" s="2">
        <v>168</v>
      </c>
      <c r="D892" s="11">
        <v>1791328683.6042209</v>
      </c>
      <c r="E892" s="7">
        <f>D892-D725</f>
        <v>183.353160381317</v>
      </c>
      <c r="F892" s="9">
        <v>3513</v>
      </c>
      <c r="G892" s="5">
        <f>(F892-F891)/$G$2/(D892-D891)*100</f>
        <v>10.8640953298007</v>
      </c>
    </row>
    <row r="893" spans="1:7" x14ac:dyDescent="0.25">
      <c r="A893" s="2">
        <v>5</v>
      </c>
      <c r="B893" s="2" t="s">
        <v>45</v>
      </c>
      <c r="C893" s="2">
        <v>169</v>
      </c>
      <c r="D893" s="11">
        <v>1791328684.705886</v>
      </c>
      <c r="E893" s="7">
        <f>D893-D725</f>
        <v>184.454825401306</v>
      </c>
      <c r="F893" s="9">
        <v>3527</v>
      </c>
      <c r="G893" s="5">
        <f>(F893-F892)/$G$2/(D893-D892)*100</f>
        <v>12.708037149205</v>
      </c>
    </row>
    <row r="894" spans="1:7" x14ac:dyDescent="0.25">
      <c r="A894" s="2">
        <v>5</v>
      </c>
      <c r="B894" s="2" t="s">
        <v>45</v>
      </c>
      <c r="C894" s="2">
        <v>170</v>
      </c>
      <c r="D894" s="11">
        <v>1791328685.7971804</v>
      </c>
      <c r="E894" s="7">
        <f>D894-D725</f>
        <v>185.54611992836</v>
      </c>
      <c r="F894" s="9">
        <v>3541</v>
      </c>
      <c r="G894" s="5">
        <f>(F894-F893)/$G$2/(D894-D893)*100</f>
        <v>12.8288007068044</v>
      </c>
    </row>
    <row r="895" spans="1:7" x14ac:dyDescent="0.25">
      <c r="A895" s="2">
        <v>5</v>
      </c>
      <c r="B895" s="2" t="s">
        <v>45</v>
      </c>
      <c r="C895" s="2">
        <v>171</v>
      </c>
      <c r="D895" s="11">
        <v>1791328686.939473</v>
      </c>
      <c r="E895" s="7">
        <f>D895-D725</f>
        <v>186.688412427902</v>
      </c>
      <c r="F895" s="9">
        <v>3554</v>
      </c>
      <c r="G895" s="5">
        <f>(F895-F894)/$G$2/(D895-D894)*100</f>
        <v>11.3806227434826</v>
      </c>
    </row>
    <row r="896" spans="1:7" x14ac:dyDescent="0.25">
      <c r="A896" s="2">
        <v>5</v>
      </c>
      <c r="B896" s="2" t="s">
        <v>45</v>
      </c>
      <c r="C896" s="2">
        <v>172</v>
      </c>
      <c r="D896" s="11">
        <v>1791328688.0445557</v>
      </c>
      <c r="E896" s="7">
        <f>D896-D725</f>
        <v>187.793495178223</v>
      </c>
      <c r="F896" s="9">
        <v>3567</v>
      </c>
      <c r="G896" s="5">
        <f>(F896-F895)/$G$2/(D896-D895)*100</f>
        <v>11.7638249228218</v>
      </c>
    </row>
    <row r="897" spans="1:7" x14ac:dyDescent="0.25">
      <c r="A897" s="2">
        <v>5</v>
      </c>
      <c r="B897" s="2" t="s">
        <v>45</v>
      </c>
      <c r="C897" s="2">
        <v>173</v>
      </c>
      <c r="D897" s="11">
        <v>1791328689.1453316</v>
      </c>
      <c r="E897" s="7">
        <f>D897-D725</f>
        <v>188.89427113533</v>
      </c>
      <c r="F897" s="9">
        <v>3579</v>
      </c>
      <c r="G897" s="5">
        <f>(F897-F896)/$G$2/(D897-D896)*100</f>
        <v>10.9014008913601</v>
      </c>
    </row>
    <row r="898" spans="1:7" x14ac:dyDescent="0.25">
      <c r="A898" s="2">
        <v>5</v>
      </c>
      <c r="B898" s="2" t="s">
        <v>45</v>
      </c>
      <c r="C898" s="2">
        <v>174</v>
      </c>
      <c r="D898" s="11">
        <v>1791328690.257165</v>
      </c>
      <c r="E898" s="7">
        <f>D898-D725</f>
        <v>190.006104469299</v>
      </c>
      <c r="F898" s="9">
        <v>3591</v>
      </c>
      <c r="G898" s="5">
        <f>(F898-F897)/$G$2/(D898-D897)*100</f>
        <v>10.7929845538642</v>
      </c>
    </row>
    <row r="899" spans="1:7" x14ac:dyDescent="0.25">
      <c r="A899" s="2">
        <v>5</v>
      </c>
      <c r="B899" s="2" t="s">
        <v>45</v>
      </c>
      <c r="C899" s="2">
        <v>175</v>
      </c>
      <c r="D899" s="11">
        <v>1791328691.3632483</v>
      </c>
      <c r="E899" s="7">
        <f>D899-D725</f>
        <v>191.112187862396</v>
      </c>
      <c r="F899" s="9">
        <v>3603</v>
      </c>
      <c r="G899" s="5">
        <f>(F899-F898)/$G$2/(D899-D898)*100</f>
        <v>10.8490915557472</v>
      </c>
    </row>
    <row r="900" spans="1:7" x14ac:dyDescent="0.25">
      <c r="A900" s="2">
        <v>5</v>
      </c>
      <c r="B900" s="2" t="s">
        <v>45</v>
      </c>
      <c r="C900" s="2">
        <v>176</v>
      </c>
      <c r="D900" s="11">
        <v>1791328692.4453921</v>
      </c>
      <c r="E900" s="7">
        <f>D900-D725</f>
        <v>192.194331645966</v>
      </c>
      <c r="F900" s="9">
        <v>3632</v>
      </c>
      <c r="G900" s="5">
        <f>(F900-F899)/$G$2/(D900-D899)*100</f>
        <v>26.7986569255581</v>
      </c>
    </row>
    <row r="901" spans="1:7" x14ac:dyDescent="0.25">
      <c r="A901" s="2">
        <v>5</v>
      </c>
      <c r="B901" s="2" t="s">
        <v>45</v>
      </c>
      <c r="C901" s="2">
        <v>177</v>
      </c>
      <c r="D901" s="11">
        <v>1791328693.5425792</v>
      </c>
      <c r="E901" s="7">
        <f>D901-D725</f>
        <v>193.291518688202</v>
      </c>
      <c r="F901" s="9">
        <v>3648</v>
      </c>
      <c r="G901" s="5">
        <f>(F901-F900)/$G$2/(D901-D900)*100</f>
        <v>14.5827460442735</v>
      </c>
    </row>
    <row r="902" spans="1:7" x14ac:dyDescent="0.25">
      <c r="A902" s="2">
        <v>5</v>
      </c>
      <c r="B902" s="2" t="s">
        <v>45</v>
      </c>
      <c r="C902" s="2">
        <v>178</v>
      </c>
      <c r="D902" s="11">
        <v>1791328694.641963</v>
      </c>
      <c r="E902" s="7">
        <f>D902-D725</f>
        <v>194.390902519226</v>
      </c>
      <c r="F902" s="9">
        <v>3666</v>
      </c>
      <c r="G902" s="5">
        <f>(F902-F901)/$G$2/(D902-D901)*100</f>
        <v>16.3728076510198</v>
      </c>
    </row>
    <row r="903" spans="1:7" x14ac:dyDescent="0.25">
      <c r="A903" s="2">
        <v>5</v>
      </c>
      <c r="B903" s="2" t="s">
        <v>45</v>
      </c>
      <c r="C903" s="2">
        <v>179</v>
      </c>
      <c r="D903" s="11">
        <v>1791328695.7003958</v>
      </c>
      <c r="E903" s="7">
        <f>D903-D725</f>
        <v>195.449335336685</v>
      </c>
      <c r="F903" s="9">
        <v>3677</v>
      </c>
      <c r="G903" s="5">
        <f>(F903-F902)/$G$2/(D903-D902)*100</f>
        <v>10.3927238635767</v>
      </c>
    </row>
    <row r="904" spans="1:7" x14ac:dyDescent="0.25">
      <c r="A904" s="2">
        <v>5</v>
      </c>
      <c r="B904" s="2" t="s">
        <v>45</v>
      </c>
      <c r="C904" s="2">
        <v>180</v>
      </c>
      <c r="D904" s="11">
        <v>1791328696.7821171</v>
      </c>
      <c r="E904" s="7">
        <f>D904-D725</f>
        <v>196.531056642532</v>
      </c>
      <c r="F904" s="9">
        <v>3690</v>
      </c>
      <c r="G904" s="5">
        <f>(F904-F903)/$G$2/(D904-D903)*100</f>
        <v>12.0178829146929</v>
      </c>
    </row>
    <row r="905" spans="1:6" x14ac:dyDescent="0.25">
      <c r="A905" s="2">
        <v>6</v>
      </c>
      <c r="B905" s="2" t="s">
        <v>42</v>
      </c>
      <c r="C905" s="2">
        <v>1</v>
      </c>
      <c r="D905" s="11">
        <v>1791328835.2376752</v>
      </c>
      <c r="E905" s="7">
        <f>D905-D905</f>
        <v>0</v>
      </c>
      <c r="F905" s="9">
        <v>1130</v>
      </c>
    </row>
    <row r="906" spans="1:7" x14ac:dyDescent="0.25">
      <c r="A906" s="2">
        <v>6</v>
      </c>
      <c r="B906" s="2" t="s">
        <v>42</v>
      </c>
      <c r="C906" s="2">
        <v>2</v>
      </c>
      <c r="D906" s="11">
        <v>1791328836.3348236</v>
      </c>
      <c r="E906" s="7">
        <f>D906-D905</f>
        <v>1.09714841842651</v>
      </c>
      <c r="F906" s="9">
        <v>1142</v>
      </c>
      <c r="G906" s="5">
        <f>(F906-F905)/$G$2/(D906-D905)*100</f>
        <v>10.9374445594243</v>
      </c>
    </row>
    <row r="907" spans="1:7" x14ac:dyDescent="0.25">
      <c r="A907" s="2">
        <v>6</v>
      </c>
      <c r="B907" s="2" t="s">
        <v>42</v>
      </c>
      <c r="C907" s="2">
        <v>3</v>
      </c>
      <c r="D907" s="11">
        <v>1791328837.4334137</v>
      </c>
      <c r="E907" s="7">
        <f>D907-D905</f>
        <v>2.19573855400085</v>
      </c>
      <c r="F907" s="9">
        <v>1156</v>
      </c>
      <c r="G907" s="5">
        <f>(F907-F906)/$G$2/(D907-D906)*100</f>
        <v>12.7436061426865</v>
      </c>
    </row>
    <row r="908" spans="1:7" x14ac:dyDescent="0.25">
      <c r="A908" s="2">
        <v>6</v>
      </c>
      <c r="B908" s="2" t="s">
        <v>42</v>
      </c>
      <c r="C908" s="2">
        <v>4</v>
      </c>
      <c r="D908" s="11">
        <v>1791328838.5262864</v>
      </c>
      <c r="E908" s="7">
        <f>D908-D905</f>
        <v>3.28861117362976</v>
      </c>
      <c r="F908" s="9">
        <v>1181</v>
      </c>
      <c r="G908" s="5">
        <f>(F908-F907)/$G$2/(D908-D907)*100</f>
        <v>22.8754930364062</v>
      </c>
    </row>
    <row r="909" spans="1:7" x14ac:dyDescent="0.25">
      <c r="A909" s="2">
        <v>6</v>
      </c>
      <c r="B909" s="2" t="s">
        <v>42</v>
      </c>
      <c r="C909" s="2">
        <v>5</v>
      </c>
      <c r="D909" s="11">
        <v>1791328839.6107602</v>
      </c>
      <c r="E909" s="7">
        <f>D909-D905</f>
        <v>4.37308502197266</v>
      </c>
      <c r="F909" s="9">
        <v>1188</v>
      </c>
      <c r="G909" s="5">
        <f>(F909-F908)/$G$2/(D909-D908)*100</f>
        <v>6.45474301726702</v>
      </c>
    </row>
    <row r="910" spans="1:7" x14ac:dyDescent="0.25">
      <c r="A910" s="2">
        <v>6</v>
      </c>
      <c r="B910" s="2" t="s">
        <v>42</v>
      </c>
      <c r="C910" s="2">
        <v>6</v>
      </c>
      <c r="D910" s="11">
        <v>1791328840.6900048</v>
      </c>
      <c r="E910" s="7">
        <f>D910-D905</f>
        <v>5.45232963562012</v>
      </c>
      <c r="F910" s="9">
        <v>1192</v>
      </c>
      <c r="G910" s="5">
        <f>(F910-F909)/$G$2/(D910-D909)*100</f>
        <v>3.70629600501913</v>
      </c>
    </row>
    <row r="911" spans="1:7" x14ac:dyDescent="0.25">
      <c r="A911" s="2">
        <v>6</v>
      </c>
      <c r="B911" s="2" t="s">
        <v>42</v>
      </c>
      <c r="C911" s="2">
        <v>7</v>
      </c>
      <c r="D911" s="11">
        <v>1791328841.7842095</v>
      </c>
      <c r="E911" s="7">
        <f>D911-D905</f>
        <v>6.54653429985046</v>
      </c>
      <c r="F911" s="9">
        <v>1199</v>
      </c>
      <c r="G911" s="5">
        <f>(F911-F910)/$G$2/(D911-D910)*100</f>
        <v>6.39734067019696</v>
      </c>
    </row>
    <row r="912" spans="1:7" x14ac:dyDescent="0.25">
      <c r="A912" s="2">
        <v>6</v>
      </c>
      <c r="B912" s="2" t="s">
        <v>42</v>
      </c>
      <c r="C912" s="2">
        <v>8</v>
      </c>
      <c r="D912" s="11">
        <v>1791328842.8770394</v>
      </c>
      <c r="E912" s="7">
        <f>D912-D905</f>
        <v>7.63936424255371</v>
      </c>
      <c r="F912" s="9">
        <v>1206</v>
      </c>
      <c r="G912" s="5">
        <f>(F912-F911)/$G$2/(D912-D911)*100</f>
        <v>6.40538818206669</v>
      </c>
    </row>
    <row r="913" spans="1:7" x14ac:dyDescent="0.25">
      <c r="A913" s="2">
        <v>6</v>
      </c>
      <c r="B913" s="2" t="s">
        <v>42</v>
      </c>
      <c r="C913" s="2">
        <v>9</v>
      </c>
      <c r="D913" s="11">
        <v>1791328843.9585462</v>
      </c>
      <c r="E913" s="7">
        <f>D913-D905</f>
        <v>8.72087097167969</v>
      </c>
      <c r="F913" s="9">
        <v>1215</v>
      </c>
      <c r="G913" s="5">
        <f>(F913-F912)/$G$2/(D913-D912)*100</f>
        <v>8.321723534049</v>
      </c>
    </row>
    <row r="914" spans="1:7" x14ac:dyDescent="0.25">
      <c r="A914" s="2">
        <v>6</v>
      </c>
      <c r="B914" s="2" t="s">
        <v>42</v>
      </c>
      <c r="C914" s="2">
        <v>10</v>
      </c>
      <c r="D914" s="11">
        <v>1791328845.0629523</v>
      </c>
      <c r="E914" s="7">
        <f>D914-D905</f>
        <v>9.82527709007263</v>
      </c>
      <c r="F914" s="9">
        <v>1227</v>
      </c>
      <c r="G914" s="5">
        <f>(F914-F913)/$G$2/(D914-D913)*100</f>
        <v>10.8655682000943</v>
      </c>
    </row>
    <row r="915" spans="1:7" x14ac:dyDescent="0.25">
      <c r="A915" s="2">
        <v>6</v>
      </c>
      <c r="B915" s="2" t="s">
        <v>42</v>
      </c>
      <c r="C915" s="2">
        <v>11</v>
      </c>
      <c r="D915" s="11">
        <v>1791328846.1782014</v>
      </c>
      <c r="E915" s="7">
        <f>D915-D905</f>
        <v>10.9405262470245</v>
      </c>
      <c r="F915" s="9">
        <v>1239</v>
      </c>
      <c r="G915" s="5">
        <f>(F915-F914)/$G$2/(D915-D914)*100</f>
        <v>10.7599274343298</v>
      </c>
    </row>
    <row r="916" spans="1:7" x14ac:dyDescent="0.25">
      <c r="A916" s="2">
        <v>6</v>
      </c>
      <c r="B916" s="2" t="s">
        <v>42</v>
      </c>
      <c r="C916" s="2">
        <v>12</v>
      </c>
      <c r="D916" s="11">
        <v>1791328847.2798727</v>
      </c>
      <c r="E916" s="7">
        <f>D916-D905</f>
        <v>12.0421974658966</v>
      </c>
      <c r="F916" s="9">
        <v>1251</v>
      </c>
      <c r="G916" s="5">
        <f>(F916-F915)/$G$2/(D916-D915)*100</f>
        <v>10.8925419802525</v>
      </c>
    </row>
    <row r="917" spans="1:7" x14ac:dyDescent="0.25">
      <c r="A917" s="2">
        <v>6</v>
      </c>
      <c r="B917" s="2" t="s">
        <v>42</v>
      </c>
      <c r="C917" s="2">
        <v>13</v>
      </c>
      <c r="D917" s="11">
        <v>1791328848.385934</v>
      </c>
      <c r="E917" s="7">
        <f>D917-D905</f>
        <v>13.1482589244843</v>
      </c>
      <c r="F917" s="9">
        <v>1264</v>
      </c>
      <c r="G917" s="5">
        <f>(F917-F916)/$G$2/(D917-D916)*100</f>
        <v>11.7534155982616</v>
      </c>
    </row>
    <row r="918" spans="1:7" x14ac:dyDescent="0.25">
      <c r="A918" s="2">
        <v>6</v>
      </c>
      <c r="B918" s="2" t="s">
        <v>42</v>
      </c>
      <c r="C918" s="2">
        <v>14</v>
      </c>
      <c r="D918" s="11">
        <v>1791328849.4886446</v>
      </c>
      <c r="E918" s="7">
        <f>D918-D905</f>
        <v>14.2509694099426</v>
      </c>
      <c r="F918" s="9">
        <v>1275</v>
      </c>
      <c r="G918" s="5">
        <f>(F918-F917)/$G$2/(D918-D917)*100</f>
        <v>9.97541979065115</v>
      </c>
    </row>
    <row r="919" spans="1:7" x14ac:dyDescent="0.25">
      <c r="A919" s="2">
        <v>6</v>
      </c>
      <c r="B919" s="2" t="s">
        <v>42</v>
      </c>
      <c r="C919" s="2">
        <v>15</v>
      </c>
      <c r="D919" s="11">
        <v>1791328850.5720882</v>
      </c>
      <c r="E919" s="7">
        <f>D919-D905</f>
        <v>15.3344130516052</v>
      </c>
      <c r="F919" s="9">
        <v>1307</v>
      </c>
      <c r="G919" s="5">
        <f>(F919-F918)/$G$2/(D919-D918)*100</f>
        <v>29.5354541477528</v>
      </c>
    </row>
    <row r="920" spans="1:7" x14ac:dyDescent="0.25">
      <c r="A920" s="2">
        <v>6</v>
      </c>
      <c r="B920" s="2" t="s">
        <v>42</v>
      </c>
      <c r="C920" s="2">
        <v>16</v>
      </c>
      <c r="D920" s="11">
        <v>1791328851.6700244</v>
      </c>
      <c r="E920" s="7">
        <f>D920-D905</f>
        <v>16.4323492050171</v>
      </c>
      <c r="F920" s="9">
        <v>1320</v>
      </c>
      <c r="G920" s="5">
        <f>(F920-F919)/$G$2/(D920-D919)*100</f>
        <v>11.8403970573354</v>
      </c>
    </row>
    <row r="921" spans="1:7" x14ac:dyDescent="0.25">
      <c r="A921" s="2">
        <v>6</v>
      </c>
      <c r="B921" s="2" t="s">
        <v>42</v>
      </c>
      <c r="C921" s="2">
        <v>17</v>
      </c>
      <c r="D921" s="11">
        <v>1791328852.7347376</v>
      </c>
      <c r="E921" s="7">
        <f>D921-D905</f>
        <v>17.4970624446869</v>
      </c>
      <c r="F921" s="9">
        <v>1330</v>
      </c>
      <c r="G921" s="5">
        <f>(F921-F920)/$G$2/(D921-D920)*100</f>
        <v>9.39220029150883</v>
      </c>
    </row>
    <row r="922" spans="1:7" x14ac:dyDescent="0.25">
      <c r="A922" s="2">
        <v>6</v>
      </c>
      <c r="B922" s="2" t="s">
        <v>42</v>
      </c>
      <c r="C922" s="2">
        <v>18</v>
      </c>
      <c r="D922" s="11">
        <v>1791328853.8087854</v>
      </c>
      <c r="E922" s="7">
        <f>D922-D905</f>
        <v>18.5711102485657</v>
      </c>
      <c r="F922" s="9">
        <v>1341</v>
      </c>
      <c r="G922" s="5">
        <f>(F922-F921)/$G$2/(D922-D921)*100</f>
        <v>10.241629804814</v>
      </c>
    </row>
    <row r="923" spans="1:7" x14ac:dyDescent="0.25">
      <c r="A923" s="2">
        <v>6</v>
      </c>
      <c r="B923" s="2" t="s">
        <v>42</v>
      </c>
      <c r="C923" s="2">
        <v>19</v>
      </c>
      <c r="D923" s="11">
        <v>1791328854.9139845</v>
      </c>
      <c r="E923" s="7">
        <f>D923-D905</f>
        <v>19.6763093471527</v>
      </c>
      <c r="F923" s="9">
        <v>1352</v>
      </c>
      <c r="G923" s="5">
        <f>(F923-F922)/$G$2/(D923-D922)*100</f>
        <v>9.95295781010242</v>
      </c>
    </row>
    <row r="924" spans="1:7" x14ac:dyDescent="0.25">
      <c r="A924" s="2">
        <v>6</v>
      </c>
      <c r="B924" s="2" t="s">
        <v>42</v>
      </c>
      <c r="C924" s="2">
        <v>20</v>
      </c>
      <c r="D924" s="11">
        <v>1791328856.0206099</v>
      </c>
      <c r="E924" s="7">
        <f>D924-D905</f>
        <v>20.7829346656799</v>
      </c>
      <c r="F924" s="9">
        <v>1365</v>
      </c>
      <c r="G924" s="5">
        <f>(F924-F923)/$G$2/(D924-D923)*100</f>
        <v>11.747426868293</v>
      </c>
    </row>
    <row r="925" spans="1:7" x14ac:dyDescent="0.25">
      <c r="A925" s="2">
        <v>6</v>
      </c>
      <c r="B925" s="2" t="s">
        <v>42</v>
      </c>
      <c r="C925" s="2">
        <v>21</v>
      </c>
      <c r="D925" s="11">
        <v>1791328857.161569</v>
      </c>
      <c r="E925" s="7">
        <f>D925-D905</f>
        <v>21.9238939285278</v>
      </c>
      <c r="F925" s="9">
        <v>1376</v>
      </c>
      <c r="G925" s="5">
        <f>(F925-F924)/$G$2/(D925-D924)*100</f>
        <v>9.64101029562034</v>
      </c>
    </row>
    <row r="926" spans="1:7" x14ac:dyDescent="0.25">
      <c r="A926" s="2">
        <v>6</v>
      </c>
      <c r="B926" s="2" t="s">
        <v>42</v>
      </c>
      <c r="C926" s="2">
        <v>22</v>
      </c>
      <c r="D926" s="11">
        <v>1791328858.2684045</v>
      </c>
      <c r="E926" s="7">
        <f>D926-D905</f>
        <v>23.0307292938232</v>
      </c>
      <c r="F926" s="9">
        <v>1389</v>
      </c>
      <c r="G926" s="5">
        <f>(F926-F925)/$G$2/(D926-D925)*100</f>
        <v>11.7451975312791</v>
      </c>
    </row>
    <row r="927" spans="1:7" x14ac:dyDescent="0.25">
      <c r="A927" s="2">
        <v>6</v>
      </c>
      <c r="B927" s="2" t="s">
        <v>42</v>
      </c>
      <c r="C927" s="2">
        <v>23</v>
      </c>
      <c r="D927" s="11">
        <v>1791328859.3605604</v>
      </c>
      <c r="E927" s="7">
        <f>D927-D905</f>
        <v>24.1228852272034</v>
      </c>
      <c r="F927" s="9">
        <v>1402</v>
      </c>
      <c r="G927" s="5">
        <f>(F927-F926)/$G$2/(D927-D926)*100</f>
        <v>11.9030621934783</v>
      </c>
    </row>
    <row r="928" spans="1:7" x14ac:dyDescent="0.25">
      <c r="A928" s="2">
        <v>6</v>
      </c>
      <c r="B928" s="2" t="s">
        <v>42</v>
      </c>
      <c r="C928" s="2">
        <v>24</v>
      </c>
      <c r="D928" s="11">
        <v>1791328860.4714818</v>
      </c>
      <c r="E928" s="7">
        <f>D928-D905</f>
        <v>25.2338066101074</v>
      </c>
      <c r="F928" s="9">
        <v>1413</v>
      </c>
      <c r="G928" s="5">
        <f>(F928-F927)/$G$2/(D928-D927)*100</f>
        <v>9.90169076703247</v>
      </c>
    </row>
    <row r="929" spans="1:7" x14ac:dyDescent="0.25">
      <c r="A929" s="2">
        <v>6</v>
      </c>
      <c r="B929" s="2" t="s">
        <v>42</v>
      </c>
      <c r="C929" s="2">
        <v>25</v>
      </c>
      <c r="D929" s="11">
        <v>1791328861.5557652</v>
      </c>
      <c r="E929" s="7">
        <f>D929-D905</f>
        <v>26.3180899620056</v>
      </c>
      <c r="F929" s="9">
        <v>1427</v>
      </c>
      <c r="G929" s="5">
        <f>(F929-F928)/$G$2/(D929-D928)*100</f>
        <v>12.9117540866887</v>
      </c>
    </row>
    <row r="930" spans="1:7" x14ac:dyDescent="0.25">
      <c r="A930" s="2">
        <v>6</v>
      </c>
      <c r="B930" s="2" t="s">
        <v>42</v>
      </c>
      <c r="C930" s="2">
        <v>26</v>
      </c>
      <c r="D930" s="11">
        <v>1791328862.6551843</v>
      </c>
      <c r="E930" s="7">
        <f>D930-D905</f>
        <v>27.4175090789795</v>
      </c>
      <c r="F930" s="9">
        <v>1448</v>
      </c>
      <c r="G930" s="5">
        <f>(F930-F929)/$G$2/(D930-D929)*100</f>
        <v>19.1009958584329</v>
      </c>
    </row>
    <row r="931" spans="1:7" x14ac:dyDescent="0.25">
      <c r="A931" s="2">
        <v>6</v>
      </c>
      <c r="B931" s="2" t="s">
        <v>42</v>
      </c>
      <c r="C931" s="2">
        <v>27</v>
      </c>
      <c r="D931" s="11">
        <v>1791328863.7204275</v>
      </c>
      <c r="E931" s="7">
        <f>D931-D905</f>
        <v>28.4827523231506</v>
      </c>
      <c r="F931" s="9">
        <v>1455</v>
      </c>
      <c r="G931" s="5">
        <f>(F931-F930)/$G$2/(D931-D930)*100</f>
        <v>6.57126908647672</v>
      </c>
    </row>
    <row r="932" spans="1:7" x14ac:dyDescent="0.25">
      <c r="A932" s="2">
        <v>6</v>
      </c>
      <c r="B932" s="2" t="s">
        <v>42</v>
      </c>
      <c r="C932" s="2">
        <v>28</v>
      </c>
      <c r="D932" s="11">
        <v>1791328864.780191</v>
      </c>
      <c r="E932" s="7">
        <f>D932-D905</f>
        <v>29.5425157546997</v>
      </c>
      <c r="F932" s="9">
        <v>1466</v>
      </c>
      <c r="G932" s="5">
        <f>(F932-F931)/$G$2/(D932-D931)*100</f>
        <v>10.3796750034308</v>
      </c>
    </row>
    <row r="933" spans="1:7" x14ac:dyDescent="0.25">
      <c r="A933" s="2">
        <v>6</v>
      </c>
      <c r="B933" s="2" t="s">
        <v>42</v>
      </c>
      <c r="C933" s="2">
        <v>29</v>
      </c>
      <c r="D933" s="11">
        <v>1791328865.882766</v>
      </c>
      <c r="E933" s="7">
        <f>D933-D905</f>
        <v>30.6450908184052</v>
      </c>
      <c r="F933" s="9">
        <v>1479</v>
      </c>
      <c r="G933" s="5">
        <f>(F933-F932)/$G$2/(D933-D932)*100</f>
        <v>11.7905804583596</v>
      </c>
    </row>
    <row r="934" spans="1:7" x14ac:dyDescent="0.25">
      <c r="A934" s="2">
        <v>6</v>
      </c>
      <c r="B934" s="2" t="s">
        <v>42</v>
      </c>
      <c r="C934" s="2">
        <v>30</v>
      </c>
      <c r="D934" s="11">
        <v>1791328866.9888651</v>
      </c>
      <c r="E934" s="7">
        <f>D934-D905</f>
        <v>31.7511899471283</v>
      </c>
      <c r="F934" s="9">
        <v>1488</v>
      </c>
      <c r="G934" s="5">
        <f>(F934-F933)/$G$2/(D934-D933)*100</f>
        <v>8.13670291051526</v>
      </c>
    </row>
    <row r="935" spans="1:7" x14ac:dyDescent="0.25">
      <c r="A935" s="2">
        <v>6</v>
      </c>
      <c r="B935" s="2" t="s">
        <v>42</v>
      </c>
      <c r="C935" s="2">
        <v>31</v>
      </c>
      <c r="D935" s="11">
        <v>1791328868.1091042</v>
      </c>
      <c r="E935" s="7">
        <f>D935-D905</f>
        <v>32.8714289665222</v>
      </c>
      <c r="F935" s="9">
        <v>1501</v>
      </c>
      <c r="G935" s="5">
        <f>(F935-F934)/$G$2/(D935-D934)*100</f>
        <v>11.6046663032978</v>
      </c>
    </row>
    <row r="936" spans="1:7" x14ac:dyDescent="0.25">
      <c r="A936" s="2">
        <v>6</v>
      </c>
      <c r="B936" s="2" t="s">
        <v>42</v>
      </c>
      <c r="C936" s="2">
        <v>32</v>
      </c>
      <c r="D936" s="11">
        <v>1791328869.2105658</v>
      </c>
      <c r="E936" s="7">
        <f>D936-D905</f>
        <v>33.9728906154633</v>
      </c>
      <c r="F936" s="9">
        <v>1510</v>
      </c>
      <c r="G936" s="5">
        <f>(F936-F935)/$G$2/(D936-D935)*100</f>
        <v>8.1709608397648</v>
      </c>
    </row>
    <row r="937" spans="1:7" x14ac:dyDescent="0.25">
      <c r="A937" s="2">
        <v>6</v>
      </c>
      <c r="B937" s="2" t="s">
        <v>42</v>
      </c>
      <c r="C937" s="2">
        <v>33</v>
      </c>
      <c r="D937" s="11">
        <v>1791328870.3112152</v>
      </c>
      <c r="E937" s="7">
        <f>D937-D905</f>
        <v>35.0735399723053</v>
      </c>
      <c r="F937" s="9">
        <v>1523</v>
      </c>
      <c r="G937" s="5">
        <f>(F937-F936)/$G$2/(D937-D936)*100</f>
        <v>11.8112093730735</v>
      </c>
    </row>
    <row r="938" spans="1:7" x14ac:dyDescent="0.25">
      <c r="A938" s="2">
        <v>6</v>
      </c>
      <c r="B938" s="2" t="s">
        <v>42</v>
      </c>
      <c r="C938" s="2">
        <v>34</v>
      </c>
      <c r="D938" s="11">
        <v>1791328871.4186237</v>
      </c>
      <c r="E938" s="7">
        <f>D938-D905</f>
        <v>36.1809484958649</v>
      </c>
      <c r="F938" s="9">
        <v>1536</v>
      </c>
      <c r="G938" s="5">
        <f>(F938-F937)/$G$2/(D938-D937)*100</f>
        <v>11.7391186029649</v>
      </c>
    </row>
    <row r="939" spans="1:7" x14ac:dyDescent="0.25">
      <c r="A939" s="2">
        <v>6</v>
      </c>
      <c r="B939" s="2" t="s">
        <v>42</v>
      </c>
      <c r="C939" s="2">
        <v>35</v>
      </c>
      <c r="D939" s="11">
        <v>1791328872.532855</v>
      </c>
      <c r="E939" s="7">
        <f>D939-D905</f>
        <v>37.2951798439026</v>
      </c>
      <c r="F939" s="9">
        <v>1548</v>
      </c>
      <c r="G939" s="5">
        <f>(F939-F938)/$G$2/(D939-D938)*100</f>
        <v>10.769756228034</v>
      </c>
    </row>
    <row r="940" spans="1:7" x14ac:dyDescent="0.25">
      <c r="A940" s="2">
        <v>6</v>
      </c>
      <c r="B940" s="2" t="s">
        <v>42</v>
      </c>
      <c r="C940" s="2">
        <v>36</v>
      </c>
      <c r="D940" s="11">
        <v>1791328873.637405</v>
      </c>
      <c r="E940" s="7">
        <f>D940-D905</f>
        <v>38.3997297286987</v>
      </c>
      <c r="F940" s="9">
        <v>1560</v>
      </c>
      <c r="G940" s="5">
        <f>(F940-F939)/$G$2/(D940-D939)*100</f>
        <v>10.8641539555407</v>
      </c>
    </row>
    <row r="941" spans="1:7" x14ac:dyDescent="0.25">
      <c r="A941" s="2">
        <v>6</v>
      </c>
      <c r="B941" s="2" t="s">
        <v>42</v>
      </c>
      <c r="C941" s="2">
        <v>37</v>
      </c>
      <c r="D941" s="11">
        <v>1791328874.744384</v>
      </c>
      <c r="E941" s="7">
        <f>D941-D905</f>
        <v>39.5067088603973</v>
      </c>
      <c r="F941" s="9">
        <v>1592</v>
      </c>
      <c r="G941" s="5">
        <f>(F941-F940)/$G$2/(D941-D940)*100</f>
        <v>28.9075006779012</v>
      </c>
    </row>
    <row r="942" spans="1:7" x14ac:dyDescent="0.25">
      <c r="A942" s="2">
        <v>6</v>
      </c>
      <c r="B942" s="2" t="s">
        <v>42</v>
      </c>
      <c r="C942" s="2">
        <v>38</v>
      </c>
      <c r="D942" s="11">
        <v>1791328875.8349178</v>
      </c>
      <c r="E942" s="7">
        <f>D942-D905</f>
        <v>40.5972425937653</v>
      </c>
      <c r="F942" s="9">
        <v>1603</v>
      </c>
      <c r="G942" s="5">
        <f>(F942-F941)/$G$2/(D942-D941)*100</f>
        <v>10.0868039781112</v>
      </c>
    </row>
    <row r="943" spans="1:7" x14ac:dyDescent="0.25">
      <c r="A943" s="2">
        <v>6</v>
      </c>
      <c r="B943" s="2" t="s">
        <v>42</v>
      </c>
      <c r="C943" s="2">
        <v>39</v>
      </c>
      <c r="D943" s="11">
        <v>1791328876.9409034</v>
      </c>
      <c r="E943" s="7">
        <f>D943-D905</f>
        <v>41.7032282352448</v>
      </c>
      <c r="F943" s="9">
        <v>1616</v>
      </c>
      <c r="G943" s="5">
        <f>(F943-F942)/$G$2/(D943-D942)*100</f>
        <v>11.7542213139492</v>
      </c>
    </row>
    <row r="944" spans="1:7" x14ac:dyDescent="0.25">
      <c r="A944" s="2">
        <v>6</v>
      </c>
      <c r="B944" s="2" t="s">
        <v>42</v>
      </c>
      <c r="C944" s="2">
        <v>40</v>
      </c>
      <c r="D944" s="11">
        <v>1791328878.0462945</v>
      </c>
      <c r="E944" s="7">
        <f>D944-D905</f>
        <v>42.808619260788</v>
      </c>
      <c r="F944" s="9">
        <v>1629</v>
      </c>
      <c r="G944" s="5">
        <f>(F944-F943)/$G$2/(D944-D943)*100</f>
        <v>11.7605441871681</v>
      </c>
    </row>
    <row r="945" spans="1:7" x14ac:dyDescent="0.25">
      <c r="A945" s="2">
        <v>6</v>
      </c>
      <c r="B945" s="2" t="s">
        <v>42</v>
      </c>
      <c r="C945" s="2">
        <v>41</v>
      </c>
      <c r="D945" s="11">
        <v>1791328879.168081</v>
      </c>
      <c r="E945" s="7">
        <f>D945-D905</f>
        <v>43.9304058551788</v>
      </c>
      <c r="F945" s="9">
        <v>1640</v>
      </c>
      <c r="G945" s="5">
        <f>(F945-F944)/$G$2/(D945-D944)*100</f>
        <v>9.80578663981362</v>
      </c>
    </row>
    <row r="946" spans="1:7" x14ac:dyDescent="0.25">
      <c r="A946" s="2">
        <v>6</v>
      </c>
      <c r="B946" s="2" t="s">
        <v>42</v>
      </c>
      <c r="C946" s="2">
        <v>42</v>
      </c>
      <c r="D946" s="11">
        <v>1791328880.2731626</v>
      </c>
      <c r="E946" s="7">
        <f>D946-D905</f>
        <v>45.0354874134064</v>
      </c>
      <c r="F946" s="9">
        <v>1652</v>
      </c>
      <c r="G946" s="5">
        <f>(F946-F945)/$G$2/(D946-D945)*100</f>
        <v>10.8589270272929</v>
      </c>
    </row>
    <row r="947" spans="1:7" x14ac:dyDescent="0.25">
      <c r="A947" s="2">
        <v>6</v>
      </c>
      <c r="B947" s="2" t="s">
        <v>42</v>
      </c>
      <c r="C947" s="2">
        <v>43</v>
      </c>
      <c r="D947" s="11">
        <v>1791328881.3558896</v>
      </c>
      <c r="E947" s="7">
        <f>D947-D905</f>
        <v>46.1182143688202</v>
      </c>
      <c r="F947" s="9">
        <v>1665</v>
      </c>
      <c r="G947" s="5">
        <f>(F947-F946)/$G$2/(D947-D946)*100</f>
        <v>12.0067205632942</v>
      </c>
    </row>
    <row r="948" spans="1:7" x14ac:dyDescent="0.25">
      <c r="A948" s="2">
        <v>6</v>
      </c>
      <c r="B948" s="2" t="s">
        <v>42</v>
      </c>
      <c r="C948" s="2">
        <v>44</v>
      </c>
      <c r="D948" s="11">
        <v>1791328882.4627607</v>
      </c>
      <c r="E948" s="7">
        <f>D948-D905</f>
        <v>47.2250854969025</v>
      </c>
      <c r="F948" s="9">
        <v>1678</v>
      </c>
      <c r="G948" s="5">
        <f>(F948-F947)/$G$2/(D948-D947)*100</f>
        <v>11.7448180462737</v>
      </c>
    </row>
    <row r="949" spans="1:7" x14ac:dyDescent="0.25">
      <c r="A949" s="2">
        <v>6</v>
      </c>
      <c r="B949" s="2" t="s">
        <v>42</v>
      </c>
      <c r="C949" s="2">
        <v>45</v>
      </c>
      <c r="D949" s="11">
        <v>1791328883.5732443</v>
      </c>
      <c r="E949" s="7">
        <f>D949-D905</f>
        <v>48.3355691432953</v>
      </c>
      <c r="F949" s="9">
        <v>1691</v>
      </c>
      <c r="G949" s="5">
        <f>(F949-F948)/$G$2/(D949-D948)*100</f>
        <v>11.7066109368002</v>
      </c>
    </row>
    <row r="950" spans="1:7" x14ac:dyDescent="0.25">
      <c r="A950" s="2">
        <v>6</v>
      </c>
      <c r="B950" s="2" t="s">
        <v>42</v>
      </c>
      <c r="C950" s="2">
        <v>46</v>
      </c>
      <c r="D950" s="11">
        <v>1791328884.6839838</v>
      </c>
      <c r="E950" s="7">
        <f>D950-D905</f>
        <v>49.4463086128235</v>
      </c>
      <c r="F950" s="9">
        <v>1703</v>
      </c>
      <c r="G950" s="5">
        <f>(F950-F949)/$G$2/(D950-D949)*100</f>
        <v>10.8036135648418</v>
      </c>
    </row>
    <row r="951" spans="1:7" x14ac:dyDescent="0.25">
      <c r="A951" s="2">
        <v>6</v>
      </c>
      <c r="B951" s="2" t="s">
        <v>42</v>
      </c>
      <c r="C951" s="2">
        <v>47</v>
      </c>
      <c r="D951" s="11">
        <v>1791328885.7944183</v>
      </c>
      <c r="E951" s="7">
        <f>D951-D905</f>
        <v>50.556743144989</v>
      </c>
      <c r="F951" s="9">
        <v>1715</v>
      </c>
      <c r="G951" s="5">
        <f>(F951-F950)/$G$2/(D951-D950)*100</f>
        <v>10.8065803542673</v>
      </c>
    </row>
    <row r="952" spans="1:7" x14ac:dyDescent="0.25">
      <c r="A952" s="2">
        <v>6</v>
      </c>
      <c r="B952" s="2" t="s">
        <v>42</v>
      </c>
      <c r="C952" s="2">
        <v>48</v>
      </c>
      <c r="D952" s="11">
        <v>1791328886.910044</v>
      </c>
      <c r="E952" s="7">
        <f>D952-D905</f>
        <v>51.6723687648773</v>
      </c>
      <c r="F952" s="9">
        <v>1742</v>
      </c>
      <c r="G952" s="5">
        <f>(F952-F951)/$G$2/(D952-D951)*100</f>
        <v>24.2016672248018</v>
      </c>
    </row>
    <row r="953" spans="1:7" x14ac:dyDescent="0.25">
      <c r="A953" s="2">
        <v>6</v>
      </c>
      <c r="B953" s="2" t="s">
        <v>42</v>
      </c>
      <c r="C953" s="2">
        <v>49</v>
      </c>
      <c r="D953" s="11">
        <v>1791328887.997337</v>
      </c>
      <c r="E953" s="7">
        <f>D953-D905</f>
        <v>52.7596619129181</v>
      </c>
      <c r="F953" s="9">
        <v>1755</v>
      </c>
      <c r="G953" s="5">
        <f>(F953-F952)/$G$2/(D953-D952)*100</f>
        <v>11.956297180227</v>
      </c>
    </row>
    <row r="954" spans="1:7" x14ac:dyDescent="0.25">
      <c r="A954" s="2">
        <v>6</v>
      </c>
      <c r="B954" s="2" t="s">
        <v>42</v>
      </c>
      <c r="C954" s="2">
        <v>50</v>
      </c>
      <c r="D954" s="11">
        <v>1791328889.07946</v>
      </c>
      <c r="E954" s="7">
        <f>D954-D905</f>
        <v>53.8417847156525</v>
      </c>
      <c r="F954" s="9">
        <v>1767</v>
      </c>
      <c r="G954" s="5">
        <f>(F954-F953)/$G$2/(D954-D953)*100</f>
        <v>11.0893144194704</v>
      </c>
    </row>
    <row r="955" spans="1:7" x14ac:dyDescent="0.25">
      <c r="A955" s="2">
        <v>6</v>
      </c>
      <c r="B955" s="2" t="s">
        <v>42</v>
      </c>
      <c r="C955" s="2">
        <v>51</v>
      </c>
      <c r="D955" s="11">
        <v>1791328890.2213356</v>
      </c>
      <c r="E955" s="7">
        <f>D955-D905</f>
        <v>54.9836604595184</v>
      </c>
      <c r="F955" s="9">
        <v>1780</v>
      </c>
      <c r="G955" s="5">
        <f>(F955-F954)/$G$2/(D955-D954)*100</f>
        <v>11.3847763820491</v>
      </c>
    </row>
    <row r="956" spans="1:7" x14ac:dyDescent="0.25">
      <c r="A956" s="2">
        <v>6</v>
      </c>
      <c r="B956" s="2" t="s">
        <v>42</v>
      </c>
      <c r="C956" s="2">
        <v>52</v>
      </c>
      <c r="D956" s="11">
        <v>1791328891.322654</v>
      </c>
      <c r="E956" s="7">
        <f>D956-D905</f>
        <v>56.0849788188934</v>
      </c>
      <c r="F956" s="9">
        <v>1792</v>
      </c>
      <c r="G956" s="5">
        <f>(F956-F955)/$G$2/(D956-D955)*100</f>
        <v>10.8960319219685</v>
      </c>
    </row>
    <row r="957" spans="1:7" x14ac:dyDescent="0.25">
      <c r="A957" s="2">
        <v>6</v>
      </c>
      <c r="B957" s="2" t="s">
        <v>42</v>
      </c>
      <c r="C957" s="2">
        <v>53</v>
      </c>
      <c r="D957" s="11">
        <v>1791328892.4293497</v>
      </c>
      <c r="E957" s="7">
        <f>D957-D905</f>
        <v>57.1916744709015</v>
      </c>
      <c r="F957" s="9">
        <v>1805</v>
      </c>
      <c r="G957" s="5">
        <f>(F957-F956)/$G$2/(D957-D956)*100</f>
        <v>11.7466802877666</v>
      </c>
    </row>
    <row r="958" spans="1:7" x14ac:dyDescent="0.25">
      <c r="A958" s="2">
        <v>6</v>
      </c>
      <c r="B958" s="2" t="s">
        <v>42</v>
      </c>
      <c r="C958" s="2">
        <v>54</v>
      </c>
      <c r="D958" s="11">
        <v>1791328893.5306528</v>
      </c>
      <c r="E958" s="7">
        <f>D958-D905</f>
        <v>58.2929775714874</v>
      </c>
      <c r="F958" s="9">
        <v>1811</v>
      </c>
      <c r="G958" s="5">
        <f>(F958-F957)/$G$2/(D958-D957)*100</f>
        <v>5.44809144440596</v>
      </c>
    </row>
    <row r="959" spans="1:7" x14ac:dyDescent="0.25">
      <c r="A959" s="2">
        <v>6</v>
      </c>
      <c r="B959" s="2" t="s">
        <v>42</v>
      </c>
      <c r="C959" s="2">
        <v>55</v>
      </c>
      <c r="D959" s="11">
        <v>1791328894.6181352</v>
      </c>
      <c r="E959" s="7">
        <f>D959-D905</f>
        <v>59.38046002388</v>
      </c>
      <c r="F959" s="9">
        <v>1819</v>
      </c>
      <c r="G959" s="5">
        <f>(F959-F958)/$G$2/(D959-D958)*100</f>
        <v>7.35644054062587</v>
      </c>
    </row>
    <row r="960" spans="1:7" x14ac:dyDescent="0.25">
      <c r="A960" s="2">
        <v>6</v>
      </c>
      <c r="B960" s="2" t="s">
        <v>42</v>
      </c>
      <c r="C960" s="2">
        <v>56</v>
      </c>
      <c r="D960" s="11">
        <v>1791328895.7018752</v>
      </c>
      <c r="E960" s="7">
        <f>D960-D905</f>
        <v>60.4642000198364</v>
      </c>
      <c r="F960" s="9">
        <v>1825</v>
      </c>
      <c r="G960" s="5">
        <f>(F960-F959)/$G$2/(D960-D959)*100</f>
        <v>5.53638328601584</v>
      </c>
    </row>
    <row r="961" spans="1:7" x14ac:dyDescent="0.25">
      <c r="A961" s="2">
        <v>6</v>
      </c>
      <c r="B961" s="2" t="s">
        <v>42</v>
      </c>
      <c r="C961" s="2">
        <v>57</v>
      </c>
      <c r="D961" s="11">
        <v>1791328896.801059</v>
      </c>
      <c r="E961" s="7">
        <f>D961-D905</f>
        <v>61.5633838176727</v>
      </c>
      <c r="F961" s="9">
        <v>1834</v>
      </c>
      <c r="G961" s="5">
        <f>(F961-F960)/$G$2/(D961-D960)*100</f>
        <v>8.18789361498606</v>
      </c>
    </row>
    <row r="962" spans="1:7" x14ac:dyDescent="0.25">
      <c r="A962" s="2">
        <v>6</v>
      </c>
      <c r="B962" s="2" t="s">
        <v>42</v>
      </c>
      <c r="C962" s="2">
        <v>58</v>
      </c>
      <c r="D962" s="11">
        <v>1791328897.8621783</v>
      </c>
      <c r="E962" s="7">
        <f>D962-D905</f>
        <v>62.6245031356812</v>
      </c>
      <c r="F962" s="9">
        <v>1844</v>
      </c>
      <c r="G962" s="5">
        <f>(F962-F961)/$G$2/(D962-D961)*100</f>
        <v>9.42401088198889</v>
      </c>
    </row>
    <row r="963" spans="1:7" x14ac:dyDescent="0.25">
      <c r="A963" s="2">
        <v>6</v>
      </c>
      <c r="B963" s="2" t="s">
        <v>42</v>
      </c>
      <c r="C963" s="2">
        <v>59</v>
      </c>
      <c r="D963" s="11">
        <v>1791328898.917253</v>
      </c>
      <c r="E963" s="7">
        <f>D963-D905</f>
        <v>63.6795778274536</v>
      </c>
      <c r="F963" s="9">
        <v>1878</v>
      </c>
      <c r="G963" s="5">
        <f>(F963-F962)/$G$2/(D963-D962)*100</f>
        <v>32.2252066750669</v>
      </c>
    </row>
    <row r="964" spans="1:7" x14ac:dyDescent="0.25">
      <c r="A964" s="2">
        <v>6</v>
      </c>
      <c r="B964" s="2" t="s">
        <v>42</v>
      </c>
      <c r="C964" s="2">
        <v>60</v>
      </c>
      <c r="D964" s="11">
        <v>1791328899.9809604</v>
      </c>
      <c r="E964" s="7">
        <f>D964-D905</f>
        <v>64.7432851791382</v>
      </c>
      <c r="F964" s="9">
        <v>1890</v>
      </c>
      <c r="G964" s="5">
        <f>(F964-F963)/$G$2/(D964-D963)*100</f>
        <v>11.2812983580454</v>
      </c>
    </row>
    <row r="965" spans="1:7" x14ac:dyDescent="0.25">
      <c r="A965" s="2">
        <v>6</v>
      </c>
      <c r="B965" s="2" t="s">
        <v>42</v>
      </c>
      <c r="C965" s="2">
        <v>61</v>
      </c>
      <c r="D965" s="11">
        <v>1791328901.092216</v>
      </c>
      <c r="E965" s="7">
        <f>D965-D905</f>
        <v>65.8545408248901</v>
      </c>
      <c r="F965" s="9">
        <v>1901</v>
      </c>
      <c r="G965" s="5">
        <f>(F965-F964)/$G$2/(D965-D964)*100</f>
        <v>9.89871236384732</v>
      </c>
    </row>
    <row r="966" spans="1:7" x14ac:dyDescent="0.25">
      <c r="A966" s="2">
        <v>6</v>
      </c>
      <c r="B966" s="2" t="s">
        <v>42</v>
      </c>
      <c r="C966" s="2">
        <v>62</v>
      </c>
      <c r="D966" s="11">
        <v>1791328902.1894336</v>
      </c>
      <c r="E966" s="7">
        <f>D966-D905</f>
        <v>66.9517583847046</v>
      </c>
      <c r="F966" s="9">
        <v>1911</v>
      </c>
      <c r="G966" s="5">
        <f>(F966-F965)/$G$2/(D966-D965)*100</f>
        <v>9.11396277844028</v>
      </c>
    </row>
    <row r="967" spans="1:7" x14ac:dyDescent="0.25">
      <c r="A967" s="2">
        <v>6</v>
      </c>
      <c r="B967" s="2" t="s">
        <v>42</v>
      </c>
      <c r="C967" s="2">
        <v>63</v>
      </c>
      <c r="D967" s="11">
        <v>1791328903.2914543</v>
      </c>
      <c r="E967" s="7">
        <f>D967-D905</f>
        <v>68.0537791252136</v>
      </c>
      <c r="F967" s="9">
        <v>1923</v>
      </c>
      <c r="G967" s="5">
        <f>(F967-F966)/$G$2/(D967-D966)*100</f>
        <v>10.889087254798</v>
      </c>
    </row>
    <row r="968" spans="1:7" x14ac:dyDescent="0.25">
      <c r="A968" s="2">
        <v>6</v>
      </c>
      <c r="B968" s="2" t="s">
        <v>42</v>
      </c>
      <c r="C968" s="2">
        <v>64</v>
      </c>
      <c r="D968" s="11">
        <v>1791328904.3963368</v>
      </c>
      <c r="E968" s="7">
        <f>D968-D905</f>
        <v>69.1586616039276</v>
      </c>
      <c r="F968" s="9">
        <v>1935</v>
      </c>
      <c r="G968" s="5">
        <f>(F968-F967)/$G$2/(D968-D967)*100</f>
        <v>10.8608836063427</v>
      </c>
    </row>
    <row r="969" spans="1:7" x14ac:dyDescent="0.25">
      <c r="A969" s="2">
        <v>6</v>
      </c>
      <c r="B969" s="2" t="s">
        <v>42</v>
      </c>
      <c r="C969" s="2">
        <v>65</v>
      </c>
      <c r="D969" s="11">
        <v>1791328905.4781754</v>
      </c>
      <c r="E969" s="7">
        <f>D969-D905</f>
        <v>70.2405002117157</v>
      </c>
      <c r="F969" s="9">
        <v>1945</v>
      </c>
      <c r="G969" s="5">
        <f>(F969-F968)/$G$2/(D969-D968)*100</f>
        <v>9.24352295066071</v>
      </c>
    </row>
    <row r="970" spans="1:7" x14ac:dyDescent="0.25">
      <c r="A970" s="2">
        <v>6</v>
      </c>
      <c r="B970" s="2" t="s">
        <v>42</v>
      </c>
      <c r="C970" s="2">
        <v>66</v>
      </c>
      <c r="D970" s="11">
        <v>1791328906.5288377</v>
      </c>
      <c r="E970" s="7">
        <f>D970-D905</f>
        <v>71.2911624908447</v>
      </c>
      <c r="F970" s="9">
        <v>1956</v>
      </c>
      <c r="G970" s="5">
        <f>(F970-F969)/$G$2/(D970-D969)*100</f>
        <v>10.4695868677409</v>
      </c>
    </row>
    <row r="971" spans="1:7" x14ac:dyDescent="0.25">
      <c r="A971" s="2">
        <v>6</v>
      </c>
      <c r="B971" s="2" t="s">
        <v>42</v>
      </c>
      <c r="C971" s="2">
        <v>67</v>
      </c>
      <c r="D971" s="11">
        <v>1791328907.6129858</v>
      </c>
      <c r="E971" s="7">
        <f>D971-D905</f>
        <v>72.3753106594086</v>
      </c>
      <c r="F971" s="9">
        <v>1966</v>
      </c>
      <c r="G971" s="5">
        <f>(F971-F970)/$G$2/(D971-D970)*100</f>
        <v>9.22383147429643</v>
      </c>
    </row>
    <row r="972" spans="1:7" x14ac:dyDescent="0.25">
      <c r="A972" s="2">
        <v>6</v>
      </c>
      <c r="B972" s="2" t="s">
        <v>42</v>
      </c>
      <c r="C972" s="2">
        <v>68</v>
      </c>
      <c r="D972" s="11">
        <v>1791328908.712237</v>
      </c>
      <c r="E972" s="7">
        <f>D972-D905</f>
        <v>73.4745616912842</v>
      </c>
      <c r="F972" s="9">
        <v>1976</v>
      </c>
      <c r="G972" s="5">
        <f>(F972-F971)/$G$2/(D972-D971)*100</f>
        <v>9.09710312751527</v>
      </c>
    </row>
    <row r="973" spans="1:7" x14ac:dyDescent="0.25">
      <c r="A973" s="2">
        <v>6</v>
      </c>
      <c r="B973" s="2" t="s">
        <v>42</v>
      </c>
      <c r="C973" s="2">
        <v>69</v>
      </c>
      <c r="D973" s="11">
        <v>1791328909.8167467</v>
      </c>
      <c r="E973" s="7">
        <f>D973-D905</f>
        <v>74.579071521759</v>
      </c>
      <c r="F973" s="9">
        <v>1982</v>
      </c>
      <c r="G973" s="5">
        <f>(F973-F972)/$G$2/(D973-D972)*100</f>
        <v>5.43227396846297</v>
      </c>
    </row>
    <row r="974" spans="1:7" x14ac:dyDescent="0.25">
      <c r="A974" s="2">
        <v>6</v>
      </c>
      <c r="B974" s="2" t="s">
        <v>42</v>
      </c>
      <c r="C974" s="2">
        <v>70</v>
      </c>
      <c r="D974" s="11">
        <v>1791328910.9026005</v>
      </c>
      <c r="E974" s="7">
        <f>D974-D905</f>
        <v>75.6649253368378</v>
      </c>
      <c r="F974" s="9">
        <v>2000</v>
      </c>
      <c r="G974" s="5">
        <f>(F974-F973)/$G$2/(D974-D973)*100</f>
        <v>16.5768170172104</v>
      </c>
    </row>
    <row r="975" spans="1:7" x14ac:dyDescent="0.25">
      <c r="A975" s="2">
        <v>6</v>
      </c>
      <c r="B975" s="2" t="s">
        <v>42</v>
      </c>
      <c r="C975" s="2">
        <v>71</v>
      </c>
      <c r="D975" s="11">
        <v>1791328912.0187714</v>
      </c>
      <c r="E975" s="7">
        <f>D975-D905</f>
        <v>76.7810962200165</v>
      </c>
      <c r="F975" s="9">
        <v>2005</v>
      </c>
      <c r="G975" s="5">
        <f>(F975-F974)/$G$2/(D975-D974)*100</f>
        <v>4.47960081682174</v>
      </c>
    </row>
    <row r="976" spans="1:7" x14ac:dyDescent="0.25">
      <c r="A976" s="2">
        <v>6</v>
      </c>
      <c r="B976" s="2" t="s">
        <v>42</v>
      </c>
      <c r="C976" s="2">
        <v>72</v>
      </c>
      <c r="D976" s="11">
        <v>1791328913.1210444</v>
      </c>
      <c r="E976" s="7">
        <f>D976-D905</f>
        <v>77.8833692073822</v>
      </c>
      <c r="F976" s="9">
        <v>2008</v>
      </c>
      <c r="G976" s="5">
        <f>(F976-F975)/$G$2/(D976-D975)*100</f>
        <v>2.72164884233404</v>
      </c>
    </row>
    <row r="977" spans="1:7" x14ac:dyDescent="0.25">
      <c r="A977" s="2">
        <v>6</v>
      </c>
      <c r="B977" s="2" t="s">
        <v>42</v>
      </c>
      <c r="C977" s="2">
        <v>73</v>
      </c>
      <c r="D977" s="11">
        <v>1791328914.2153</v>
      </c>
      <c r="E977" s="7">
        <f>D977-D905</f>
        <v>78.9776248931885</v>
      </c>
      <c r="F977" s="9">
        <v>2016</v>
      </c>
      <c r="G977" s="5">
        <f>(F977-F976)/$G$2/(D977-D976)*100</f>
        <v>7.31090558063256</v>
      </c>
    </row>
    <row r="978" spans="1:7" x14ac:dyDescent="0.25">
      <c r="A978" s="2">
        <v>6</v>
      </c>
      <c r="B978" s="2" t="s">
        <v>42</v>
      </c>
      <c r="C978" s="2">
        <v>74</v>
      </c>
      <c r="D978" s="11">
        <v>1791328915.2935429</v>
      </c>
      <c r="E978" s="7">
        <f>D978-D905</f>
        <v>80.0558676719666</v>
      </c>
      <c r="F978" s="9">
        <v>2025</v>
      </c>
      <c r="G978" s="5">
        <f>(F978-F977)/$G$2/(D978-D977)*100</f>
        <v>8.34691423595648</v>
      </c>
    </row>
    <row r="979" spans="1:7" x14ac:dyDescent="0.25">
      <c r="A979" s="2">
        <v>6</v>
      </c>
      <c r="B979" s="2" t="s">
        <v>42</v>
      </c>
      <c r="C979" s="2">
        <v>75</v>
      </c>
      <c r="D979" s="11">
        <v>1791328916.3761694</v>
      </c>
      <c r="E979" s="7">
        <f>D979-D905</f>
        <v>81.1384942531586</v>
      </c>
      <c r="F979" s="9">
        <v>2035</v>
      </c>
      <c r="G979" s="5">
        <f>(F979-F978)/$G$2/(D979-D978)*100</f>
        <v>9.23679519210547</v>
      </c>
    </row>
    <row r="980" spans="1:7" x14ac:dyDescent="0.25">
      <c r="A980" s="2">
        <v>6</v>
      </c>
      <c r="B980" s="2" t="s">
        <v>42</v>
      </c>
      <c r="C980" s="2">
        <v>76</v>
      </c>
      <c r="D980" s="11">
        <v>1791328917.4578388</v>
      </c>
      <c r="E980" s="7">
        <f>D980-D905</f>
        <v>82.2201635837555</v>
      </c>
      <c r="F980" s="9">
        <v>2041</v>
      </c>
      <c r="G980" s="5">
        <f>(F980-F979)/$G$2/(D980-D979)*100</f>
        <v>5.54698171638912</v>
      </c>
    </row>
    <row r="981" spans="1:7" x14ac:dyDescent="0.25">
      <c r="A981" s="2">
        <v>6</v>
      </c>
      <c r="B981" s="2" t="s">
        <v>42</v>
      </c>
      <c r="C981" s="2">
        <v>77</v>
      </c>
      <c r="D981" s="11">
        <v>1791328918.5452871</v>
      </c>
      <c r="E981" s="7">
        <f>D981-D905</f>
        <v>83.3076119422913</v>
      </c>
      <c r="F981" s="9">
        <v>2051</v>
      </c>
      <c r="G981" s="5">
        <f>(F981-F980)/$G$2/(D981-D980)*100</f>
        <v>9.19583897617433</v>
      </c>
    </row>
    <row r="982" spans="1:7" x14ac:dyDescent="0.25">
      <c r="A982" s="2">
        <v>6</v>
      </c>
      <c r="B982" s="2" t="s">
        <v>42</v>
      </c>
      <c r="C982" s="2">
        <v>78</v>
      </c>
      <c r="D982" s="11">
        <v>1791328919.6007814</v>
      </c>
      <c r="E982" s="7">
        <f>D982-D905</f>
        <v>84.3631062507629</v>
      </c>
      <c r="F982" s="9">
        <v>2055</v>
      </c>
      <c r="G982" s="5">
        <f>(F982-F981)/$G$2/(D982-D981)*100</f>
        <v>3.78969357569712</v>
      </c>
    </row>
    <row r="983" spans="1:7" x14ac:dyDescent="0.25">
      <c r="A983" s="2">
        <v>6</v>
      </c>
      <c r="B983" s="2" t="s">
        <v>42</v>
      </c>
      <c r="C983" s="2">
        <v>79</v>
      </c>
      <c r="D983" s="11">
        <v>1791328920.6575365</v>
      </c>
      <c r="E983" s="7">
        <f>D983-D905</f>
        <v>85.4198613166809</v>
      </c>
      <c r="F983" s="9">
        <v>2061</v>
      </c>
      <c r="G983" s="5">
        <f>(F983-F982)/$G$2/(D983-D982)*100</f>
        <v>5.67775844517764</v>
      </c>
    </row>
    <row r="984" spans="1:7" x14ac:dyDescent="0.25">
      <c r="A984" s="2">
        <v>6</v>
      </c>
      <c r="B984" s="2" t="s">
        <v>42</v>
      </c>
      <c r="C984" s="2">
        <v>80</v>
      </c>
      <c r="D984" s="11">
        <v>1791328921.7522447</v>
      </c>
      <c r="E984" s="7">
        <f>D984-D905</f>
        <v>86.5145695209503</v>
      </c>
      <c r="F984" s="9">
        <v>2070</v>
      </c>
      <c r="G984" s="5">
        <f>(F984-F983)/$G$2/(D984-D983)*100</f>
        <v>8.22136891356036</v>
      </c>
    </row>
    <row r="985" spans="1:7" x14ac:dyDescent="0.25">
      <c r="A985" s="2">
        <v>6</v>
      </c>
      <c r="B985" s="2" t="s">
        <v>42</v>
      </c>
      <c r="C985" s="2">
        <v>81</v>
      </c>
      <c r="D985" s="11">
        <v>1791328922.8680553</v>
      </c>
      <c r="E985" s="7">
        <f>D985-D905</f>
        <v>87.630380153656</v>
      </c>
      <c r="F985" s="9">
        <v>2086</v>
      </c>
      <c r="G985" s="5">
        <f>(F985-F984)/$G$2/(D985-D984)*100</f>
        <v>14.3393507204732</v>
      </c>
    </row>
    <row r="986" spans="1:7" x14ac:dyDescent="0.25">
      <c r="A986" s="2">
        <v>6</v>
      </c>
      <c r="B986" s="2" t="s">
        <v>42</v>
      </c>
      <c r="C986" s="2">
        <v>82</v>
      </c>
      <c r="D986" s="11">
        <v>1791328923.9360032</v>
      </c>
      <c r="E986" s="7">
        <f>D986-D905</f>
        <v>88.6983280181885</v>
      </c>
      <c r="F986" s="9">
        <v>2096</v>
      </c>
      <c r="G986" s="5">
        <f>(F986-F985)/$G$2/(D986-D985)*100</f>
        <v>9.36375298093585</v>
      </c>
    </row>
    <row r="987" spans="1:7" x14ac:dyDescent="0.25">
      <c r="A987" s="2">
        <v>6</v>
      </c>
      <c r="B987" s="2" t="s">
        <v>42</v>
      </c>
      <c r="C987" s="2">
        <v>83</v>
      </c>
      <c r="D987" s="11">
        <v>1791328925.0374105</v>
      </c>
      <c r="E987" s="7">
        <f>D987-D905</f>
        <v>89.7997353076935</v>
      </c>
      <c r="F987" s="9">
        <v>2108</v>
      </c>
      <c r="G987" s="5">
        <f>(F987-F986)/$G$2/(D987-D986)*100</f>
        <v>10.8951521515652</v>
      </c>
    </row>
    <row r="988" spans="1:7" x14ac:dyDescent="0.25">
      <c r="A988" s="2">
        <v>6</v>
      </c>
      <c r="B988" s="2" t="s">
        <v>42</v>
      </c>
      <c r="C988" s="2">
        <v>84</v>
      </c>
      <c r="D988" s="11">
        <v>1791328926.1129885</v>
      </c>
      <c r="E988" s="7">
        <f>D988-D905</f>
        <v>90.8753132820129</v>
      </c>
      <c r="F988" s="9">
        <v>2120</v>
      </c>
      <c r="G988" s="5">
        <f>(F988-F987)/$G$2/(D988-D987)*100</f>
        <v>11.1567922424152</v>
      </c>
    </row>
    <row r="989" spans="1:7" x14ac:dyDescent="0.25">
      <c r="A989" s="2">
        <v>6</v>
      </c>
      <c r="B989" s="2" t="s">
        <v>42</v>
      </c>
      <c r="C989" s="2">
        <v>85</v>
      </c>
      <c r="D989" s="11">
        <v>1791328927.2095644</v>
      </c>
      <c r="E989" s="7">
        <f>D989-D905</f>
        <v>91.971889257431</v>
      </c>
      <c r="F989" s="9">
        <v>2131</v>
      </c>
      <c r="G989" s="5">
        <f>(F989-F988)/$G$2/(D989-D988)*100</f>
        <v>10.0312246908437</v>
      </c>
    </row>
    <row r="990" spans="1:7" x14ac:dyDescent="0.25">
      <c r="A990" s="2">
        <v>6</v>
      </c>
      <c r="B990" s="2" t="s">
        <v>42</v>
      </c>
      <c r="C990" s="2">
        <v>86</v>
      </c>
      <c r="D990" s="11">
        <v>1791328928.31648</v>
      </c>
      <c r="E990" s="7">
        <f>D990-D905</f>
        <v>93.078804731369</v>
      </c>
      <c r="F990" s="9">
        <v>2143</v>
      </c>
      <c r="G990" s="5">
        <f>(F990-F989)/$G$2/(D990-D989)*100</f>
        <v>10.8409361713126</v>
      </c>
    </row>
    <row r="991" spans="1:7" x14ac:dyDescent="0.25">
      <c r="A991" s="2">
        <v>6</v>
      </c>
      <c r="B991" s="2" t="s">
        <v>42</v>
      </c>
      <c r="C991" s="2">
        <v>87</v>
      </c>
      <c r="D991" s="11">
        <v>1791328929.4084396</v>
      </c>
      <c r="E991" s="7">
        <f>D991-D905</f>
        <v>94.1707644462586</v>
      </c>
      <c r="F991" s="9">
        <v>2156</v>
      </c>
      <c r="G991" s="5">
        <f>(F991-F990)/$G$2/(D991-D990)*100</f>
        <v>11.9052011010454</v>
      </c>
    </row>
    <row r="992" spans="1:7" x14ac:dyDescent="0.25">
      <c r="A992" s="2">
        <v>6</v>
      </c>
      <c r="B992" s="2" t="s">
        <v>42</v>
      </c>
      <c r="C992" s="2">
        <v>88</v>
      </c>
      <c r="D992" s="11">
        <v>1791328930.5180511</v>
      </c>
      <c r="E992" s="7">
        <f>D992-D905</f>
        <v>95.280375957489</v>
      </c>
      <c r="F992" s="9">
        <v>2168</v>
      </c>
      <c r="G992" s="5">
        <f>(F992-F991)/$G$2/(D992-D991)*100</f>
        <v>10.8145958099272</v>
      </c>
    </row>
    <row r="993" spans="1:7" x14ac:dyDescent="0.25">
      <c r="A993" s="2">
        <v>6</v>
      </c>
      <c r="B993" s="2" t="s">
        <v>42</v>
      </c>
      <c r="C993" s="2">
        <v>89</v>
      </c>
      <c r="D993" s="11">
        <v>1791328931.5997121</v>
      </c>
      <c r="E993" s="7">
        <f>D993-D905</f>
        <v>96.3620369434357</v>
      </c>
      <c r="F993" s="9">
        <v>2179</v>
      </c>
      <c r="G993" s="5">
        <f>(F993-F992)/$G$2/(D993-D992)*100</f>
        <v>10.1695449340562</v>
      </c>
    </row>
    <row r="994" spans="1:7" x14ac:dyDescent="0.25">
      <c r="A994" s="2">
        <v>6</v>
      </c>
      <c r="B994" s="2" t="s">
        <v>42</v>
      </c>
      <c r="C994" s="2">
        <v>90</v>
      </c>
      <c r="D994" s="11">
        <v>1791328932.6701713</v>
      </c>
      <c r="E994" s="7">
        <f>D994-D905</f>
        <v>97.4324960708618</v>
      </c>
      <c r="F994" s="9">
        <v>2189</v>
      </c>
      <c r="G994" s="5">
        <f>(F994-F993)/$G$2/(D994-D993)*100</f>
        <v>9.34178591577278</v>
      </c>
    </row>
    <row r="995" spans="1:7" x14ac:dyDescent="0.25">
      <c r="A995" s="2">
        <v>6</v>
      </c>
      <c r="B995" s="2" t="s">
        <v>42</v>
      </c>
      <c r="C995" s="2">
        <v>91</v>
      </c>
      <c r="D995" s="11">
        <v>1791328933.7732065</v>
      </c>
      <c r="E995" s="7">
        <f>D995-D905</f>
        <v>98.5355312824249</v>
      </c>
      <c r="F995" s="9">
        <v>2196</v>
      </c>
      <c r="G995" s="5">
        <f>(F995-F994)/$G$2/(D995-D994)*100</f>
        <v>6.34612560561898</v>
      </c>
    </row>
    <row r="996" spans="1:7" x14ac:dyDescent="0.25">
      <c r="A996" s="2">
        <v>6</v>
      </c>
      <c r="B996" s="2" t="s">
        <v>42</v>
      </c>
      <c r="C996" s="2">
        <v>92</v>
      </c>
      <c r="D996" s="11">
        <v>1791328934.8800614</v>
      </c>
      <c r="E996" s="7">
        <f>D996-D905</f>
        <v>99.6423861980438</v>
      </c>
      <c r="F996" s="9">
        <v>2226</v>
      </c>
      <c r="G996" s="5">
        <f>(F996-F995)/$G$2/(D996-D995)*100</f>
        <v>27.1038232533173</v>
      </c>
    </row>
    <row r="997" spans="1:7" x14ac:dyDescent="0.25">
      <c r="A997" s="2">
        <v>6</v>
      </c>
      <c r="B997" s="2" t="s">
        <v>42</v>
      </c>
      <c r="C997" s="2">
        <v>93</v>
      </c>
      <c r="D997" s="11">
        <v>1791328935.9793084</v>
      </c>
      <c r="E997" s="7">
        <f>D997-D905</f>
        <v>100.741633176804</v>
      </c>
      <c r="F997" s="9">
        <v>2239</v>
      </c>
      <c r="G997" s="5">
        <f>(F997-F996)/$G$2/(D997-D996)*100</f>
        <v>11.826277671163</v>
      </c>
    </row>
    <row r="998" spans="1:7" x14ac:dyDescent="0.25">
      <c r="A998" s="2">
        <v>6</v>
      </c>
      <c r="B998" s="2" t="s">
        <v>42</v>
      </c>
      <c r="C998" s="2">
        <v>94</v>
      </c>
      <c r="D998" s="11">
        <v>1791328937.0863175</v>
      </c>
      <c r="E998" s="7">
        <f>D998-D905</f>
        <v>101.848642349243</v>
      </c>
      <c r="F998" s="9">
        <v>2252</v>
      </c>
      <c r="G998" s="5">
        <f>(F998-F997)/$G$2/(D998-D997)*100</f>
        <v>11.7433534641373</v>
      </c>
    </row>
    <row r="999" spans="1:7" x14ac:dyDescent="0.25">
      <c r="A999" s="2">
        <v>6</v>
      </c>
      <c r="B999" s="2" t="s">
        <v>42</v>
      </c>
      <c r="C999" s="2">
        <v>95</v>
      </c>
      <c r="D999" s="11">
        <v>1791328938.1695766</v>
      </c>
      <c r="E999" s="7">
        <f>D999-D905</f>
        <v>102.931901454926</v>
      </c>
      <c r="F999" s="9">
        <v>2264</v>
      </c>
      <c r="G999" s="5">
        <f>(F999-F998)/$G$2/(D999-D998)*100</f>
        <v>11.07768209568</v>
      </c>
    </row>
    <row r="1000" spans="1:7" x14ac:dyDescent="0.25">
      <c r="A1000" s="2">
        <v>6</v>
      </c>
      <c r="B1000" s="2" t="s">
        <v>42</v>
      </c>
      <c r="C1000" s="2">
        <v>96</v>
      </c>
      <c r="D1000" s="11">
        <v>1791328939.2700853</v>
      </c>
      <c r="E1000" s="7">
        <f>D1000-D905</f>
        <v>104.032410144806</v>
      </c>
      <c r="F1000" s="9">
        <v>2276</v>
      </c>
      <c r="G1000" s="5">
        <f>(F1000-F999)/$G$2/(D1000-D999)*100</f>
        <v>10.9040483826661</v>
      </c>
    </row>
    <row r="1001" spans="1:7" x14ac:dyDescent="0.25">
      <c r="A1001" s="2">
        <v>6</v>
      </c>
      <c r="B1001" s="2" t="s">
        <v>42</v>
      </c>
      <c r="C1001" s="2">
        <v>97</v>
      </c>
      <c r="D1001" s="11">
        <v>1791328940.3078263</v>
      </c>
      <c r="E1001" s="7">
        <f>D1001-D905</f>
        <v>105.070151090622</v>
      </c>
      <c r="F1001" s="9">
        <v>2287</v>
      </c>
      <c r="G1001" s="5">
        <f>(F1001-F1000)/$G$2/(D1001-D1000)*100</f>
        <v>10.5999479391748</v>
      </c>
    </row>
    <row r="1002" spans="1:7" x14ac:dyDescent="0.25">
      <c r="A1002" s="2">
        <v>6</v>
      </c>
      <c r="B1002" s="2" t="s">
        <v>42</v>
      </c>
      <c r="C1002" s="2">
        <v>98</v>
      </c>
      <c r="D1002" s="11">
        <v>1791328941.3927135</v>
      </c>
      <c r="E1002" s="7">
        <f>D1002-D905</f>
        <v>106.155038356781</v>
      </c>
      <c r="F1002" s="9">
        <v>2300</v>
      </c>
      <c r="G1002" s="5">
        <f>(F1002-F1001)/$G$2/(D1002-D1001)*100</f>
        <v>11.9828118602823</v>
      </c>
    </row>
    <row r="1003" spans="1:7" x14ac:dyDescent="0.25">
      <c r="A1003" s="2">
        <v>6</v>
      </c>
      <c r="B1003" s="2" t="s">
        <v>42</v>
      </c>
      <c r="C1003" s="2">
        <v>99</v>
      </c>
      <c r="D1003" s="11">
        <v>1791328942.5015304</v>
      </c>
      <c r="E1003" s="7">
        <f>D1003-D905</f>
        <v>107.263855218887</v>
      </c>
      <c r="F1003" s="9">
        <v>2313</v>
      </c>
      <c r="G1003" s="5">
        <f>(F1003-F1002)/$G$2/(D1003-D1002)*100</f>
        <v>11.7242084281664</v>
      </c>
    </row>
    <row r="1004" spans="1:7" x14ac:dyDescent="0.25">
      <c r="A1004" s="2">
        <v>6</v>
      </c>
      <c r="B1004" s="2" t="s">
        <v>42</v>
      </c>
      <c r="C1004" s="2">
        <v>100</v>
      </c>
      <c r="D1004" s="11">
        <v>1791328943.6085773</v>
      </c>
      <c r="E1004" s="7">
        <f>D1004-D905</f>
        <v>108.370902061462</v>
      </c>
      <c r="F1004" s="9">
        <v>2325</v>
      </c>
      <c r="G1004" s="5">
        <f>(F1004-F1003)/$G$2/(D1004-D1003)*100</f>
        <v>10.8396497225782</v>
      </c>
    </row>
    <row r="1005" spans="1:7" x14ac:dyDescent="0.25">
      <c r="A1005" s="2">
        <v>6</v>
      </c>
      <c r="B1005" s="2" t="s">
        <v>42</v>
      </c>
      <c r="C1005" s="2">
        <v>101</v>
      </c>
      <c r="D1005" s="11">
        <v>1791328944.7288032</v>
      </c>
      <c r="E1005" s="7">
        <f>D1005-D905</f>
        <v>109.491127967834</v>
      </c>
      <c r="F1005" s="9">
        <v>2339</v>
      </c>
      <c r="G1005" s="5">
        <f>(F1005-F1004)/$G$2/(D1005-D1004)*100</f>
        <v>12.4974792319703</v>
      </c>
    </row>
    <row r="1006" spans="1:7" x14ac:dyDescent="0.25">
      <c r="A1006" s="2">
        <v>6</v>
      </c>
      <c r="B1006" s="2" t="s">
        <v>42</v>
      </c>
      <c r="C1006" s="2">
        <v>102</v>
      </c>
      <c r="D1006" s="11">
        <v>1791328945.811707</v>
      </c>
      <c r="E1006" s="7">
        <f>D1006-D905</f>
        <v>110.574031829834</v>
      </c>
      <c r="F1006" s="9">
        <v>2349</v>
      </c>
      <c r="G1006" s="5">
        <f>(F1006-F1005)/$G$2/(D1006-D1005)*100</f>
        <v>9.2344300827736</v>
      </c>
    </row>
    <row r="1007" spans="1:7" x14ac:dyDescent="0.25">
      <c r="A1007" s="2">
        <v>6</v>
      </c>
      <c r="B1007" s="2" t="s">
        <v>42</v>
      </c>
      <c r="C1007" s="2">
        <v>103</v>
      </c>
      <c r="D1007" s="11">
        <v>1791328946.9164956</v>
      </c>
      <c r="E1007" s="7">
        <f>D1007-D905</f>
        <v>111.678820371628</v>
      </c>
      <c r="F1007" s="9">
        <v>2372</v>
      </c>
      <c r="G1007" s="5">
        <f>(F1007-F1006)/$G$2/(D1007-D1006)*100</f>
        <v>20.8184635610498</v>
      </c>
    </row>
    <row r="1008" spans="1:7" x14ac:dyDescent="0.25">
      <c r="A1008" s="2">
        <v>6</v>
      </c>
      <c r="B1008" s="2" t="s">
        <v>42</v>
      </c>
      <c r="C1008" s="2">
        <v>104</v>
      </c>
      <c r="D1008" s="11">
        <v>1791328948.0294886</v>
      </c>
      <c r="E1008" s="7">
        <f>D1008-D905</f>
        <v>112.791813373566</v>
      </c>
      <c r="F1008" s="9">
        <v>2383</v>
      </c>
      <c r="G1008" s="5">
        <f>(F1008-F1007)/$G$2/(D1008-D1007)*100</f>
        <v>9.88326070410826</v>
      </c>
    </row>
    <row r="1009" spans="1:7" x14ac:dyDescent="0.25">
      <c r="A1009" s="2">
        <v>6</v>
      </c>
      <c r="B1009" s="2" t="s">
        <v>42</v>
      </c>
      <c r="C1009" s="2">
        <v>105</v>
      </c>
      <c r="D1009" s="11">
        <v>1791328949.1173635</v>
      </c>
      <c r="E1009" s="7">
        <f>D1009-D905</f>
        <v>113.879688262939</v>
      </c>
      <c r="F1009" s="9">
        <v>2394</v>
      </c>
      <c r="G1009" s="5">
        <f>(F1009-F1008)/$G$2/(D1009-D1008)*100</f>
        <v>10.1114568480683</v>
      </c>
    </row>
    <row r="1010" spans="1:7" x14ac:dyDescent="0.25">
      <c r="A1010" s="2">
        <v>6</v>
      </c>
      <c r="B1010" s="2" t="s">
        <v>42</v>
      </c>
      <c r="C1010" s="2">
        <v>106</v>
      </c>
      <c r="D1010" s="11">
        <v>1791328950.2251227</v>
      </c>
      <c r="E1010" s="7">
        <f>D1010-D905</f>
        <v>114.987447500229</v>
      </c>
      <c r="F1010" s="9">
        <v>2406</v>
      </c>
      <c r="G1010" s="5">
        <f>(F1010-F1009)/$G$2/(D1010-D1009)*100</f>
        <v>10.8326787952252</v>
      </c>
    </row>
    <row r="1011" spans="1:7" x14ac:dyDescent="0.25">
      <c r="A1011" s="2">
        <v>6</v>
      </c>
      <c r="B1011" s="2" t="s">
        <v>42</v>
      </c>
      <c r="C1011" s="2">
        <v>107</v>
      </c>
      <c r="D1011" s="11">
        <v>1791328951.331448</v>
      </c>
      <c r="E1011" s="7">
        <f>D1011-D905</f>
        <v>116.093772888184</v>
      </c>
      <c r="F1011" s="9">
        <v>2418</v>
      </c>
      <c r="G1011" s="5">
        <f>(F1011-F1010)/$G$2/(D1011-D1010)*100</f>
        <v>10.8467184525022</v>
      </c>
    </row>
    <row r="1012" spans="1:7" x14ac:dyDescent="0.25">
      <c r="A1012" s="2">
        <v>6</v>
      </c>
      <c r="B1012" s="2" t="s">
        <v>42</v>
      </c>
      <c r="C1012" s="2">
        <v>108</v>
      </c>
      <c r="D1012" s="11">
        <v>1791328952.4414504</v>
      </c>
      <c r="E1012" s="7">
        <f>D1012-D905</f>
        <v>117.203775167465</v>
      </c>
      <c r="F1012" s="9">
        <v>2430</v>
      </c>
      <c r="G1012" s="5">
        <f>(F1012-F1011)/$G$2/(D1012-D1011)*100</f>
        <v>10.8107886118633</v>
      </c>
    </row>
    <row r="1013" spans="1:7" x14ac:dyDescent="0.25">
      <c r="A1013" s="2">
        <v>6</v>
      </c>
      <c r="B1013" s="2" t="s">
        <v>42</v>
      </c>
      <c r="C1013" s="2">
        <v>109</v>
      </c>
      <c r="D1013" s="11">
        <v>1791328953.5219567</v>
      </c>
      <c r="E1013" s="7">
        <f>D1013-D905</f>
        <v>118.284281492233</v>
      </c>
      <c r="F1013" s="9">
        <v>2440</v>
      </c>
      <c r="G1013" s="5">
        <f>(F1013-F1012)/$G$2/(D1013-D1012)*100</f>
        <v>9.25492037461838</v>
      </c>
    </row>
    <row r="1014" spans="1:7" x14ac:dyDescent="0.25">
      <c r="A1014" s="2">
        <v>6</v>
      </c>
      <c r="B1014" s="2" t="s">
        <v>42</v>
      </c>
      <c r="C1014" s="2">
        <v>110</v>
      </c>
      <c r="D1014" s="11">
        <v>1791328954.576178</v>
      </c>
      <c r="E1014" s="7">
        <f>D1014-D905</f>
        <v>119.338502883911</v>
      </c>
      <c r="F1014" s="9">
        <v>2451</v>
      </c>
      <c r="G1014" s="5">
        <f>(F1014-F1013)/$G$2/(D1014-D1013)*100</f>
        <v>10.4342409353816</v>
      </c>
    </row>
    <row r="1015" spans="1:7" x14ac:dyDescent="0.25">
      <c r="A1015" s="2">
        <v>6</v>
      </c>
      <c r="B1015" s="2" t="s">
        <v>42</v>
      </c>
      <c r="C1015" s="2">
        <v>111</v>
      </c>
      <c r="D1015" s="11">
        <v>1791328955.6916804</v>
      </c>
      <c r="E1015" s="7">
        <f>D1015-D905</f>
        <v>120.454005241394</v>
      </c>
      <c r="F1015" s="9">
        <v>2463</v>
      </c>
      <c r="G1015" s="5">
        <f>(F1015-F1014)/$G$2/(D1015-D1014)*100</f>
        <v>10.7574851092897</v>
      </c>
    </row>
    <row r="1016" spans="1:7" x14ac:dyDescent="0.25">
      <c r="A1016" s="2">
        <v>6</v>
      </c>
      <c r="B1016" s="2" t="s">
        <v>42</v>
      </c>
      <c r="C1016" s="2">
        <v>112</v>
      </c>
      <c r="D1016" s="11">
        <v>1791328956.7734096</v>
      </c>
      <c r="E1016" s="7">
        <f>D1016-D905</f>
        <v>121.535734415054</v>
      </c>
      <c r="F1016" s="9">
        <v>2476</v>
      </c>
      <c r="G1016" s="5">
        <f>(F1016-F1015)/$G$2/(D1016-D1015)*100</f>
        <v>12.0177955042218</v>
      </c>
    </row>
    <row r="1017" spans="1:7" x14ac:dyDescent="0.25">
      <c r="A1017" s="2">
        <v>6</v>
      </c>
      <c r="B1017" s="2" t="s">
        <v>42</v>
      </c>
      <c r="C1017" s="2">
        <v>113</v>
      </c>
      <c r="D1017" s="11">
        <v>1791328957.853795</v>
      </c>
      <c r="E1017" s="7">
        <f>D1017-D905</f>
        <v>122.616119861603</v>
      </c>
      <c r="F1017" s="9">
        <v>2487</v>
      </c>
      <c r="G1017" s="5">
        <f>(F1017-F1016)/$G$2/(D1017-D1016)*100</f>
        <v>10.1815514408696</v>
      </c>
    </row>
    <row r="1018" spans="1:7" x14ac:dyDescent="0.25">
      <c r="A1018" s="2">
        <v>6</v>
      </c>
      <c r="B1018" s="2" t="s">
        <v>42</v>
      </c>
      <c r="C1018" s="2">
        <v>114</v>
      </c>
      <c r="D1018" s="11">
        <v>1791328958.9629025</v>
      </c>
      <c r="E1018" s="7">
        <f>D1018-D905</f>
        <v>123.725227355957</v>
      </c>
      <c r="F1018" s="9">
        <v>2519</v>
      </c>
      <c r="G1018" s="5">
        <f>(F1018-F1017)/$G$2/(D1018-D1017)*100</f>
        <v>28.8520275653094</v>
      </c>
    </row>
    <row r="1019" spans="1:7" x14ac:dyDescent="0.25">
      <c r="A1019" s="2">
        <v>6</v>
      </c>
      <c r="B1019" s="2" t="s">
        <v>42</v>
      </c>
      <c r="C1019" s="2">
        <v>115</v>
      </c>
      <c r="D1019" s="11">
        <v>1791328960.0764723</v>
      </c>
      <c r="E1019" s="7">
        <f>D1019-D905</f>
        <v>124.838797092438</v>
      </c>
      <c r="F1019" s="9">
        <v>2530</v>
      </c>
      <c r="G1019" s="5">
        <f>(F1019-F1018)/$G$2/(D1019-D1018)*100</f>
        <v>9.87814201449477</v>
      </c>
    </row>
    <row r="1020" spans="1:7" x14ac:dyDescent="0.25">
      <c r="A1020" s="2">
        <v>6</v>
      </c>
      <c r="B1020" s="2" t="s">
        <v>42</v>
      </c>
      <c r="C1020" s="2">
        <v>116</v>
      </c>
      <c r="D1020" s="11">
        <v>1791328961.17845</v>
      </c>
      <c r="E1020" s="7">
        <f>D1020-D905</f>
        <v>125.940774917603</v>
      </c>
      <c r="F1020" s="9">
        <v>2542</v>
      </c>
      <c r="G1020" s="5">
        <f>(F1020-F1019)/$G$2/(D1020-D1019)*100</f>
        <v>10.8895113186197</v>
      </c>
    </row>
    <row r="1021" spans="1:7" x14ac:dyDescent="0.25">
      <c r="A1021" s="2">
        <v>6</v>
      </c>
      <c r="B1021" s="2" t="s">
        <v>42</v>
      </c>
      <c r="C1021" s="2">
        <v>117</v>
      </c>
      <c r="D1021" s="11">
        <v>1791328962.2623193</v>
      </c>
      <c r="E1021" s="7">
        <f>D1021-D905</f>
        <v>127.024644136429</v>
      </c>
      <c r="F1021" s="9">
        <v>2555</v>
      </c>
      <c r="G1021" s="5">
        <f>(F1021-F1020)/$G$2/(D1021-D1020)*100</f>
        <v>11.9940669724688</v>
      </c>
    </row>
    <row r="1022" spans="1:7" x14ac:dyDescent="0.25">
      <c r="A1022" s="2">
        <v>6</v>
      </c>
      <c r="B1022" s="2" t="s">
        <v>42</v>
      </c>
      <c r="C1022" s="2">
        <v>118</v>
      </c>
      <c r="D1022" s="11">
        <v>1791328963.3687353</v>
      </c>
      <c r="E1022" s="7">
        <f>D1022-D905</f>
        <v>128.131060123444</v>
      </c>
      <c r="F1022" s="9">
        <v>2566</v>
      </c>
      <c r="G1022" s="5">
        <f>(F1022-F1021)/$G$2/(D1022-D1021)*100</f>
        <v>9.94201107820141</v>
      </c>
    </row>
    <row r="1023" spans="1:7" x14ac:dyDescent="0.25">
      <c r="A1023" s="2">
        <v>6</v>
      </c>
      <c r="B1023" s="2" t="s">
        <v>42</v>
      </c>
      <c r="C1023" s="2">
        <v>119</v>
      </c>
      <c r="D1023" s="11">
        <v>1791328964.4713094</v>
      </c>
      <c r="E1023" s="7">
        <f>D1023-D905</f>
        <v>129.233634233475</v>
      </c>
      <c r="F1023" s="9">
        <v>2578</v>
      </c>
      <c r="G1023" s="5">
        <f>(F1023-F1022)/$G$2/(D1023-D1022)*100</f>
        <v>10.8836221446023</v>
      </c>
    </row>
    <row r="1024" spans="1:7" x14ac:dyDescent="0.25">
      <c r="A1024" s="2">
        <v>6</v>
      </c>
      <c r="B1024" s="2" t="s">
        <v>42</v>
      </c>
      <c r="C1024" s="2">
        <v>120</v>
      </c>
      <c r="D1024" s="11">
        <v>1791328965.5564752</v>
      </c>
      <c r="E1024" s="7">
        <f>D1024-D905</f>
        <v>130.318799972534</v>
      </c>
      <c r="F1024" s="9">
        <v>2589</v>
      </c>
      <c r="G1024" s="5">
        <f>(F1024-F1023)/$G$2/(D1024-D1023)*100</f>
        <v>10.1367004173336</v>
      </c>
    </row>
    <row r="1025" spans="1:7" x14ac:dyDescent="0.25">
      <c r="A1025" s="2">
        <v>6</v>
      </c>
      <c r="B1025" s="2" t="s">
        <v>42</v>
      </c>
      <c r="C1025" s="2">
        <v>121</v>
      </c>
      <c r="D1025" s="11">
        <v>1791328966.6734586</v>
      </c>
      <c r="E1025" s="7">
        <f>D1025-D905</f>
        <v>131.43578338623</v>
      </c>
      <c r="F1025" s="9">
        <v>2602</v>
      </c>
      <c r="G1025" s="5">
        <f>(F1025-F1024)/$G$2/(D1025-D1024)*100</f>
        <v>11.6384897399513</v>
      </c>
    </row>
    <row r="1026" spans="1:7" x14ac:dyDescent="0.25">
      <c r="A1026" s="2">
        <v>6</v>
      </c>
      <c r="B1026" s="2" t="s">
        <v>42</v>
      </c>
      <c r="C1026" s="2">
        <v>122</v>
      </c>
      <c r="D1026" s="11">
        <v>1791328967.7808964</v>
      </c>
      <c r="E1026" s="7">
        <f>D1026-D905</f>
        <v>132.543221235275</v>
      </c>
      <c r="F1026" s="9">
        <v>2615</v>
      </c>
      <c r="G1026" s="5">
        <f>(F1026-F1025)/$G$2/(D1026-D1025)*100</f>
        <v>11.7388077454757</v>
      </c>
    </row>
    <row r="1027" spans="1:7" x14ac:dyDescent="0.25">
      <c r="A1027" s="2">
        <v>6</v>
      </c>
      <c r="B1027" s="2" t="s">
        <v>42</v>
      </c>
      <c r="C1027" s="2">
        <v>123</v>
      </c>
      <c r="D1027" s="11">
        <v>1791328968.8532312</v>
      </c>
      <c r="E1027" s="7">
        <f>D1027-D905</f>
        <v>133.615556001663</v>
      </c>
      <c r="F1027" s="9">
        <v>2626</v>
      </c>
      <c r="G1027" s="5">
        <f>(F1027-F1026)/$G$2/(D1027-D1026)*100</f>
        <v>10.2579906432135</v>
      </c>
    </row>
    <row r="1028" spans="1:7" x14ac:dyDescent="0.25">
      <c r="A1028" s="2">
        <v>6</v>
      </c>
      <c r="B1028" s="2" t="s">
        <v>42</v>
      </c>
      <c r="C1028" s="2">
        <v>124</v>
      </c>
      <c r="D1028" s="11">
        <v>1791328969.952695</v>
      </c>
      <c r="E1028" s="7">
        <f>D1028-D905</f>
        <v>134.715019702911</v>
      </c>
      <c r="F1028" s="9">
        <v>2638</v>
      </c>
      <c r="G1028" s="5">
        <f>(F1028-F1027)/$G$2/(D1028-D1027)*100</f>
        <v>10.9144121687482</v>
      </c>
    </row>
    <row r="1029" spans="1:7" x14ac:dyDescent="0.25">
      <c r="A1029" s="2">
        <v>6</v>
      </c>
      <c r="B1029" s="2" t="s">
        <v>42</v>
      </c>
      <c r="C1029" s="2">
        <v>125</v>
      </c>
      <c r="D1029" s="11">
        <v>1791328971.0489311</v>
      </c>
      <c r="E1029" s="7">
        <f>D1029-D905</f>
        <v>135.811255931854</v>
      </c>
      <c r="F1029" s="9">
        <v>2668</v>
      </c>
      <c r="G1029" s="5">
        <f>(F1029-F1028)/$G$2/(D1029-D1028)*100</f>
        <v>27.3663642999007</v>
      </c>
    </row>
    <row r="1030" spans="1:7" x14ac:dyDescent="0.25">
      <c r="A1030" s="2">
        <v>6</v>
      </c>
      <c r="B1030" s="2" t="s">
        <v>42</v>
      </c>
      <c r="C1030" s="2">
        <v>126</v>
      </c>
      <c r="D1030" s="11">
        <v>1791328972.1362786</v>
      </c>
      <c r="E1030" s="7">
        <f>D1030-D905</f>
        <v>136.898603439331</v>
      </c>
      <c r="F1030" s="9">
        <v>2677</v>
      </c>
      <c r="G1030" s="5">
        <f>(F1030-F1029)/$G$2/(D1030-D1029)*100</f>
        <v>8.27702269800069</v>
      </c>
    </row>
    <row r="1031" spans="1:7" x14ac:dyDescent="0.25">
      <c r="A1031" s="2">
        <v>6</v>
      </c>
      <c r="B1031" s="2" t="s">
        <v>42</v>
      </c>
      <c r="C1031" s="2">
        <v>127</v>
      </c>
      <c r="D1031" s="11">
        <v>1791328973.1965826</v>
      </c>
      <c r="E1031" s="7">
        <f>D1031-D905</f>
        <v>137.958907365799</v>
      </c>
      <c r="F1031" s="9">
        <v>2684</v>
      </c>
      <c r="G1031" s="5">
        <f>(F1031-F1030)/$G$2/(D1031-D1030)*100</f>
        <v>6.60188067332593</v>
      </c>
    </row>
    <row r="1032" spans="1:7" x14ac:dyDescent="0.25">
      <c r="A1032" s="2">
        <v>6</v>
      </c>
      <c r="B1032" s="2" t="s">
        <v>42</v>
      </c>
      <c r="C1032" s="2">
        <v>128</v>
      </c>
      <c r="D1032" s="11">
        <v>1791328974.3030696</v>
      </c>
      <c r="E1032" s="7">
        <f>D1032-D905</f>
        <v>139.06539440155</v>
      </c>
      <c r="F1032" s="9">
        <v>2696</v>
      </c>
      <c r="G1032" s="5">
        <f>(F1032-F1031)/$G$2/(D1032-D1031)*100</f>
        <v>10.8451338445656</v>
      </c>
    </row>
    <row r="1033" spans="1:7" x14ac:dyDescent="0.25">
      <c r="A1033" s="2">
        <v>6</v>
      </c>
      <c r="B1033" s="2" t="s">
        <v>42</v>
      </c>
      <c r="C1033" s="2">
        <v>129</v>
      </c>
      <c r="D1033" s="11">
        <v>1791328975.408337</v>
      </c>
      <c r="E1033" s="7">
        <f>D1033-D905</f>
        <v>140.17066192627</v>
      </c>
      <c r="F1033" s="9">
        <v>2707</v>
      </c>
      <c r="G1033" s="5">
        <f>(F1033-F1032)/$G$2/(D1033-D1032)*100</f>
        <v>9.9523416313116</v>
      </c>
    </row>
    <row r="1034" spans="1:7" x14ac:dyDescent="0.25">
      <c r="A1034" s="2">
        <v>6</v>
      </c>
      <c r="B1034" s="2" t="s">
        <v>42</v>
      </c>
      <c r="C1034" s="2">
        <v>130</v>
      </c>
      <c r="D1034" s="11">
        <v>1791328976.5134928</v>
      </c>
      <c r="E1034" s="7">
        <f>D1034-D905</f>
        <v>141.275817632675</v>
      </c>
      <c r="F1034" s="9">
        <v>2720</v>
      </c>
      <c r="G1034" s="5">
        <f>(F1034-F1033)/$G$2/(D1034-D1033)*100</f>
        <v>11.7630483421025</v>
      </c>
    </row>
    <row r="1035" spans="1:7" x14ac:dyDescent="0.25">
      <c r="A1035" s="2">
        <v>6</v>
      </c>
      <c r="B1035" s="2" t="s">
        <v>42</v>
      </c>
      <c r="C1035" s="2">
        <v>131</v>
      </c>
      <c r="D1035" s="11">
        <v>1791328977.6543553</v>
      </c>
      <c r="E1035" s="7">
        <f>D1035-D905</f>
        <v>142.41668009758</v>
      </c>
      <c r="F1035" s="9">
        <v>2732</v>
      </c>
      <c r="G1035" s="5">
        <f>(F1035-F1034)/$G$2/(D1035-D1034)*100</f>
        <v>10.5183581449509</v>
      </c>
    </row>
    <row r="1036" spans="1:7" x14ac:dyDescent="0.25">
      <c r="A1036" s="2">
        <v>6</v>
      </c>
      <c r="B1036" s="2" t="s">
        <v>42</v>
      </c>
      <c r="C1036" s="2">
        <v>132</v>
      </c>
      <c r="D1036" s="11">
        <v>1791328978.7604377</v>
      </c>
      <c r="E1036" s="7">
        <f>D1036-D905</f>
        <v>143.522762537003</v>
      </c>
      <c r="F1036" s="9">
        <v>2744</v>
      </c>
      <c r="G1036" s="5">
        <f>(F1036-F1035)/$G$2/(D1036-D1035)*100</f>
        <v>10.8491009099323</v>
      </c>
    </row>
    <row r="1037" spans="1:7" x14ac:dyDescent="0.25">
      <c r="A1037" s="2">
        <v>6</v>
      </c>
      <c r="B1037" s="2" t="s">
        <v>42</v>
      </c>
      <c r="C1037" s="2">
        <v>133</v>
      </c>
      <c r="D1037" s="11">
        <v>1791328979.8676882</v>
      </c>
      <c r="E1037" s="7">
        <f>D1037-D905</f>
        <v>144.630012989044</v>
      </c>
      <c r="F1037" s="9">
        <v>2756</v>
      </c>
      <c r="G1037" s="5">
        <f>(F1037-F1036)/$G$2/(D1037-D1036)*100</f>
        <v>10.8376564469886</v>
      </c>
    </row>
    <row r="1038" spans="1:7" x14ac:dyDescent="0.25">
      <c r="A1038" s="2">
        <v>6</v>
      </c>
      <c r="B1038" s="2" t="s">
        <v>42</v>
      </c>
      <c r="C1038" s="2">
        <v>134</v>
      </c>
      <c r="D1038" s="11">
        <v>1791328980.97474</v>
      </c>
      <c r="E1038" s="7">
        <f>D1038-D905</f>
        <v>145.737064838409</v>
      </c>
      <c r="F1038" s="9">
        <v>2769</v>
      </c>
      <c r="G1038" s="5">
        <f>(F1038-F1037)/$G$2/(D1038-D1037)*100</f>
        <v>11.7429007570458</v>
      </c>
    </row>
    <row r="1039" spans="1:7" x14ac:dyDescent="0.25">
      <c r="A1039" s="2">
        <v>6</v>
      </c>
      <c r="B1039" s="2" t="s">
        <v>42</v>
      </c>
      <c r="C1039" s="2">
        <v>135</v>
      </c>
      <c r="D1039" s="11">
        <v>1791328982.059547</v>
      </c>
      <c r="E1039" s="7">
        <f>D1039-D905</f>
        <v>146.821871757507</v>
      </c>
      <c r="F1039" s="9">
        <v>2781</v>
      </c>
      <c r="G1039" s="5">
        <f>(F1039-F1038)/$G$2/(D1039-D1038)*100</f>
        <v>11.0618763475245</v>
      </c>
    </row>
    <row r="1040" spans="1:7" x14ac:dyDescent="0.25">
      <c r="A1040" s="2">
        <v>6</v>
      </c>
      <c r="B1040" s="2" t="s">
        <v>42</v>
      </c>
      <c r="C1040" s="2">
        <v>136</v>
      </c>
      <c r="D1040" s="11">
        <v>1791328983.166472</v>
      </c>
      <c r="E1040" s="7">
        <f>D1040-D905</f>
        <v>147.928796768188</v>
      </c>
      <c r="F1040" s="9">
        <v>2813</v>
      </c>
      <c r="G1040" s="5">
        <f>(F1040-F1039)/$G$2/(D1040-D1039)*100</f>
        <v>28.9089140558028</v>
      </c>
    </row>
    <row r="1041" spans="1:7" x14ac:dyDescent="0.25">
      <c r="A1041" s="2">
        <v>6</v>
      </c>
      <c r="B1041" s="2" t="s">
        <v>42</v>
      </c>
      <c r="C1041" s="2">
        <v>137</v>
      </c>
      <c r="D1041" s="11">
        <v>1791328984.2646015</v>
      </c>
      <c r="E1041" s="7">
        <f>D1041-D905</f>
        <v>149.026926279068</v>
      </c>
      <c r="F1041" s="9">
        <v>2822</v>
      </c>
      <c r="G1041" s="5">
        <f>(F1041-F1040)/$G$2/(D1041-D1040)*100</f>
        <v>8.19575460893652</v>
      </c>
    </row>
    <row r="1042" spans="1:7" x14ac:dyDescent="0.25">
      <c r="A1042" s="2">
        <v>6</v>
      </c>
      <c r="B1042" s="2" t="s">
        <v>42</v>
      </c>
      <c r="C1042" s="2">
        <v>138</v>
      </c>
      <c r="D1042" s="11">
        <v>1791328985.3703878</v>
      </c>
      <c r="E1042" s="7">
        <f>D1042-D905</f>
        <v>150.132712602615</v>
      </c>
      <c r="F1042" s="9">
        <v>2835</v>
      </c>
      <c r="G1042" s="5">
        <f>(F1042-F1041)/$G$2/(D1042-D1041)*100</f>
        <v>11.7563400117809</v>
      </c>
    </row>
    <row r="1043" spans="1:7" x14ac:dyDescent="0.25">
      <c r="A1043" s="2">
        <v>6</v>
      </c>
      <c r="B1043" s="2" t="s">
        <v>42</v>
      </c>
      <c r="C1043" s="2">
        <v>139</v>
      </c>
      <c r="D1043" s="11">
        <v>1791328986.4774587</v>
      </c>
      <c r="E1043" s="7">
        <f>D1043-D905</f>
        <v>151.239783525467</v>
      </c>
      <c r="F1043" s="9">
        <v>2843</v>
      </c>
      <c r="G1043" s="5">
        <f>(F1043-F1042)/$G$2/(D1043-D1042)*100</f>
        <v>7.2262759637782</v>
      </c>
    </row>
    <row r="1044" spans="1:7" x14ac:dyDescent="0.25">
      <c r="A1044" s="2">
        <v>6</v>
      </c>
      <c r="B1044" s="2" t="s">
        <v>42</v>
      </c>
      <c r="C1044" s="2">
        <v>140</v>
      </c>
      <c r="D1044" s="11">
        <v>1791328987.5551357</v>
      </c>
      <c r="E1044" s="7">
        <f>D1044-D905</f>
        <v>152.317460536957</v>
      </c>
      <c r="F1044" s="9">
        <v>2853</v>
      </c>
      <c r="G1044" s="5">
        <f>(F1044-F1043)/$G$2/(D1044-D1043)*100</f>
        <v>9.27921807126162</v>
      </c>
    </row>
    <row r="1045" spans="1:7" x14ac:dyDescent="0.25">
      <c r="A1045" s="2">
        <v>6</v>
      </c>
      <c r="B1045" s="2" t="s">
        <v>42</v>
      </c>
      <c r="C1045" s="2">
        <v>141</v>
      </c>
      <c r="D1045" s="11">
        <v>1791328988.693243</v>
      </c>
      <c r="E1045" s="7">
        <f>D1045-D905</f>
        <v>153.455567836761</v>
      </c>
      <c r="F1045" s="9">
        <v>2859</v>
      </c>
      <c r="G1045" s="5">
        <f>(F1045-F1044)/$G$2/(D1045-D1044)*100</f>
        <v>5.27191065467173</v>
      </c>
    </row>
    <row r="1046" spans="1:7" x14ac:dyDescent="0.25">
      <c r="A1046" s="2">
        <v>6</v>
      </c>
      <c r="B1046" s="2" t="s">
        <v>42</v>
      </c>
      <c r="C1046" s="2">
        <v>142</v>
      </c>
      <c r="D1046" s="11">
        <v>1791328989.8000536</v>
      </c>
      <c r="E1046" s="7">
        <f>D1046-D905</f>
        <v>154.562378406525</v>
      </c>
      <c r="F1046" s="9">
        <v>2871</v>
      </c>
      <c r="G1046" s="5">
        <f>(F1046-F1045)/$G$2/(D1046-D1045)*100</f>
        <v>10.8419636817957</v>
      </c>
    </row>
    <row r="1047" spans="1:7" x14ac:dyDescent="0.25">
      <c r="A1047" s="2">
        <v>6</v>
      </c>
      <c r="B1047" s="2" t="s">
        <v>42</v>
      </c>
      <c r="C1047" s="2">
        <v>143</v>
      </c>
      <c r="D1047" s="11">
        <v>1791328990.8806672</v>
      </c>
      <c r="E1047" s="7">
        <f>D1047-D905</f>
        <v>155.642992019653</v>
      </c>
      <c r="F1047" s="9">
        <v>2884</v>
      </c>
      <c r="G1047" s="5">
        <f>(F1047-F1046)/$G$2/(D1047-D1046)*100</f>
        <v>12.030201953834</v>
      </c>
    </row>
    <row r="1048" spans="1:7" x14ac:dyDescent="0.25">
      <c r="A1048" s="2">
        <v>6</v>
      </c>
      <c r="B1048" s="2" t="s">
        <v>42</v>
      </c>
      <c r="C1048" s="2">
        <v>144</v>
      </c>
      <c r="D1048" s="11">
        <v>1791328991.990427</v>
      </c>
      <c r="E1048" s="7">
        <f>D1048-D905</f>
        <v>156.75275182724</v>
      </c>
      <c r="F1048" s="9">
        <v>2896</v>
      </c>
      <c r="G1048" s="5">
        <f>(F1048-F1047)/$G$2/(D1048-D1047)*100</f>
        <v>10.813150663742</v>
      </c>
    </row>
    <row r="1049" spans="1:7" x14ac:dyDescent="0.25">
      <c r="A1049" s="2">
        <v>6</v>
      </c>
      <c r="B1049" s="2" t="s">
        <v>42</v>
      </c>
      <c r="C1049" s="2">
        <v>145</v>
      </c>
      <c r="D1049" s="11">
        <v>1791328993.0886366</v>
      </c>
      <c r="E1049" s="7">
        <f>D1049-D905</f>
        <v>157.850961446762</v>
      </c>
      <c r="F1049" s="9">
        <v>2909</v>
      </c>
      <c r="G1049" s="5">
        <f>(F1049-F1048)/$G$2/(D1049-D1048)*100</f>
        <v>11.8374486700064</v>
      </c>
    </row>
    <row r="1050" spans="1:7" x14ac:dyDescent="0.25">
      <c r="A1050" s="2">
        <v>6</v>
      </c>
      <c r="B1050" s="2" t="s">
        <v>42</v>
      </c>
      <c r="C1050" s="2">
        <v>146</v>
      </c>
      <c r="D1050" s="11">
        <v>1791328994.1710052</v>
      </c>
      <c r="E1050" s="7">
        <f>D1050-D905</f>
        <v>158.933330059052</v>
      </c>
      <c r="F1050" s="9">
        <v>2924</v>
      </c>
      <c r="G1050" s="5">
        <f>(F1050-F1049)/$G$2/(D1050-D1049)*100</f>
        <v>13.8584949985495</v>
      </c>
    </row>
    <row r="1051" spans="1:7" x14ac:dyDescent="0.25">
      <c r="A1051" s="2">
        <v>6</v>
      </c>
      <c r="B1051" s="2" t="s">
        <v>42</v>
      </c>
      <c r="C1051" s="2">
        <v>147</v>
      </c>
      <c r="D1051" s="11">
        <v>1791328995.2695584</v>
      </c>
      <c r="E1051" s="7">
        <f>D1051-D905</f>
        <v>160.031883239746</v>
      </c>
      <c r="F1051" s="9">
        <v>2954</v>
      </c>
      <c r="G1051" s="5">
        <f>(F1051-F1050)/$G$2/(D1051-D1050)*100</f>
        <v>27.3086460693983</v>
      </c>
    </row>
    <row r="1052" spans="1:7" x14ac:dyDescent="0.25">
      <c r="A1052" s="2">
        <v>6</v>
      </c>
      <c r="B1052" s="2" t="s">
        <v>42</v>
      </c>
      <c r="C1052" s="2">
        <v>148</v>
      </c>
      <c r="D1052" s="11">
        <v>1791328996.354385</v>
      </c>
      <c r="E1052" s="7">
        <f>D1052-D905</f>
        <v>161.116709709167</v>
      </c>
      <c r="F1052" s="9">
        <v>2966</v>
      </c>
      <c r="G1052" s="5">
        <f>(F1052-F1051)/$G$2/(D1052-D1051)*100</f>
        <v>11.061676994663</v>
      </c>
    </row>
    <row r="1053" spans="1:7" x14ac:dyDescent="0.25">
      <c r="A1053" s="2">
        <v>6</v>
      </c>
      <c r="B1053" s="2" t="s">
        <v>42</v>
      </c>
      <c r="C1053" s="2">
        <v>149</v>
      </c>
      <c r="D1053" s="11">
        <v>1791328997.4566462</v>
      </c>
      <c r="E1053" s="7">
        <f>D1053-D905</f>
        <v>162.218971014023</v>
      </c>
      <c r="F1053" s="9">
        <v>2977</v>
      </c>
      <c r="G1053" s="5">
        <f>(F1053-F1052)/$G$2/(D1053-D1052)*100</f>
        <v>9.97948485676322</v>
      </c>
    </row>
    <row r="1054" spans="1:7" x14ac:dyDescent="0.25">
      <c r="A1054" s="2">
        <v>6</v>
      </c>
      <c r="B1054" s="2" t="s">
        <v>42</v>
      </c>
      <c r="C1054" s="2">
        <v>150</v>
      </c>
      <c r="D1054" s="11">
        <v>1791328998.5504339</v>
      </c>
      <c r="E1054" s="7">
        <f>D1054-D905</f>
        <v>163.312758684158</v>
      </c>
      <c r="F1054" s="9">
        <v>2991</v>
      </c>
      <c r="G1054" s="5">
        <f>(F1054-F1053)/$G$2/(D1054-D1053)*100</f>
        <v>12.7995591669686</v>
      </c>
    </row>
    <row r="1055" spans="1:7" x14ac:dyDescent="0.25">
      <c r="A1055" s="2">
        <v>6</v>
      </c>
      <c r="B1055" s="2" t="s">
        <v>42</v>
      </c>
      <c r="C1055" s="2">
        <v>151</v>
      </c>
      <c r="D1055" s="11">
        <v>1791328999.6868396</v>
      </c>
      <c r="E1055" s="7">
        <f>D1055-D905</f>
        <v>164.449164390564</v>
      </c>
      <c r="F1055" s="9">
        <v>3004</v>
      </c>
      <c r="G1055" s="5">
        <f>(F1055-F1054)/$G$2/(D1055-D1054)*100</f>
        <v>11.4395764881522</v>
      </c>
    </row>
    <row r="1056" spans="1:7" x14ac:dyDescent="0.25">
      <c r="A1056" s="2">
        <v>6</v>
      </c>
      <c r="B1056" s="2" t="s">
        <v>42</v>
      </c>
      <c r="C1056" s="2">
        <v>152</v>
      </c>
      <c r="D1056" s="11">
        <v>1791329000.7809777</v>
      </c>
      <c r="E1056" s="7">
        <f>D1056-D905</f>
        <v>165.543302536011</v>
      </c>
      <c r="F1056" s="9">
        <v>3015</v>
      </c>
      <c r="G1056" s="5">
        <f>(F1056-F1055)/$G$2/(D1056-D1055)*100</f>
        <v>10.0535750862687</v>
      </c>
    </row>
    <row r="1057" spans="1:7" x14ac:dyDescent="0.25">
      <c r="A1057" s="2">
        <v>6</v>
      </c>
      <c r="B1057" s="2" t="s">
        <v>42</v>
      </c>
      <c r="C1057" s="2">
        <v>153</v>
      </c>
      <c r="D1057" s="11">
        <v>1791329001.8873062</v>
      </c>
      <c r="E1057" s="7">
        <f>D1057-D905</f>
        <v>166.649631023407</v>
      </c>
      <c r="F1057" s="9">
        <v>3027</v>
      </c>
      <c r="G1057" s="5">
        <f>(F1057-F1056)/$G$2/(D1057-D1056)*100</f>
        <v>10.8466880648099</v>
      </c>
    </row>
    <row r="1058" spans="1:7" x14ac:dyDescent="0.25">
      <c r="A1058" s="2">
        <v>6</v>
      </c>
      <c r="B1058" s="2" t="s">
        <v>42</v>
      </c>
      <c r="C1058" s="2">
        <v>154</v>
      </c>
      <c r="D1058" s="11">
        <v>1791329002.9545064</v>
      </c>
      <c r="E1058" s="7">
        <f>D1058-D905</f>
        <v>167.716831207275</v>
      </c>
      <c r="F1058" s="9">
        <v>3039</v>
      </c>
      <c r="G1058" s="5">
        <f>(F1058-F1057)/$G$2/(D1058-D1057)*100</f>
        <v>11.2443758737955</v>
      </c>
    </row>
    <row r="1059" spans="1:7" x14ac:dyDescent="0.25">
      <c r="A1059" s="2">
        <v>6</v>
      </c>
      <c r="B1059" s="2" t="s">
        <v>42</v>
      </c>
      <c r="C1059" s="2">
        <v>155</v>
      </c>
      <c r="D1059" s="11">
        <v>1791329004.060521</v>
      </c>
      <c r="E1059" s="7">
        <f>D1059-D905</f>
        <v>168.822845697403</v>
      </c>
      <c r="F1059" s="9">
        <v>3051</v>
      </c>
      <c r="G1059" s="5">
        <f>(F1059-F1058)/$G$2/(D1059-D1058)*100</f>
        <v>10.8497674371481</v>
      </c>
    </row>
    <row r="1060" spans="1:7" x14ac:dyDescent="0.25">
      <c r="A1060" s="2">
        <v>6</v>
      </c>
      <c r="B1060" s="2" t="s">
        <v>42</v>
      </c>
      <c r="C1060" s="2">
        <v>156</v>
      </c>
      <c r="D1060" s="11">
        <v>1791329005.1452088</v>
      </c>
      <c r="E1060" s="7">
        <f>D1060-D905</f>
        <v>169.90753364563</v>
      </c>
      <c r="F1060" s="9">
        <v>3063</v>
      </c>
      <c r="G1060" s="5">
        <f>(F1060-F1059)/$G$2/(D1060-D1059)*100</f>
        <v>11.0630896375457</v>
      </c>
    </row>
    <row r="1061" spans="1:7" x14ac:dyDescent="0.25">
      <c r="A1061" s="2">
        <v>6</v>
      </c>
      <c r="B1061" s="2" t="s">
        <v>42</v>
      </c>
      <c r="C1061" s="2">
        <v>157</v>
      </c>
      <c r="D1061" s="11">
        <v>1791329006.2210174</v>
      </c>
      <c r="E1061" s="7">
        <f>D1061-D905</f>
        <v>170.983342170715</v>
      </c>
      <c r="F1061" s="9">
        <v>3079</v>
      </c>
      <c r="G1061" s="5">
        <f>(F1061-F1060)/$G$2/(D1061-D1060)*100</f>
        <v>14.8725350533257</v>
      </c>
    </row>
    <row r="1062" spans="1:7" x14ac:dyDescent="0.25">
      <c r="A1062" s="2">
        <v>6</v>
      </c>
      <c r="B1062" s="2" t="s">
        <v>42</v>
      </c>
      <c r="C1062" s="2">
        <v>158</v>
      </c>
      <c r="D1062" s="11">
        <v>1791329007.3152359</v>
      </c>
      <c r="E1062" s="7">
        <f>D1062-D905</f>
        <v>172.077560663223</v>
      </c>
      <c r="F1062" s="9">
        <v>3103</v>
      </c>
      <c r="G1062" s="5">
        <f>(F1062-F1061)/$G$2/(D1062-D1061)*100</f>
        <v>21.9334622512112</v>
      </c>
    </row>
    <row r="1063" spans="1:7" x14ac:dyDescent="0.25">
      <c r="A1063" s="2">
        <v>6</v>
      </c>
      <c r="B1063" s="2" t="s">
        <v>42</v>
      </c>
      <c r="C1063" s="2">
        <v>159</v>
      </c>
      <c r="D1063" s="11">
        <v>1791329008.4226067</v>
      </c>
      <c r="E1063" s="7">
        <f>D1063-D905</f>
        <v>173.184931516647</v>
      </c>
      <c r="F1063" s="9">
        <v>3114</v>
      </c>
      <c r="G1063" s="5">
        <f>(F1063-F1062)/$G$2/(D1063-D1062)*100</f>
        <v>9.93343825691925</v>
      </c>
    </row>
    <row r="1064" spans="1:7" x14ac:dyDescent="0.25">
      <c r="A1064" s="2">
        <v>6</v>
      </c>
      <c r="B1064" s="2" t="s">
        <v>42</v>
      </c>
      <c r="C1064" s="2">
        <v>160</v>
      </c>
      <c r="D1064" s="11">
        <v>1791329009.5304508</v>
      </c>
      <c r="E1064" s="7">
        <f>D1064-D905</f>
        <v>174.292775630951</v>
      </c>
      <c r="F1064" s="9">
        <v>3127</v>
      </c>
      <c r="G1064" s="5">
        <f>(F1064-F1063)/$G$2/(D1064-D1063)*100</f>
        <v>11.7345029252351</v>
      </c>
    </row>
    <row r="1065" spans="1:7" x14ac:dyDescent="0.25">
      <c r="A1065" s="2">
        <v>6</v>
      </c>
      <c r="B1065" s="2" t="s">
        <v>42</v>
      </c>
      <c r="C1065" s="2">
        <v>161</v>
      </c>
      <c r="D1065" s="11">
        <v>1791329010.657982</v>
      </c>
      <c r="E1065" s="7">
        <f>D1065-D905</f>
        <v>175.420306921005</v>
      </c>
      <c r="F1065" s="9">
        <v>3139</v>
      </c>
      <c r="G1065" s="5">
        <f>(F1065-F1064)/$G$2/(D1065-D1064)*100</f>
        <v>10.6427201673684</v>
      </c>
    </row>
    <row r="1066" spans="1:7" x14ac:dyDescent="0.25">
      <c r="A1066" s="2">
        <v>6</v>
      </c>
      <c r="B1066" s="2" t="s">
        <v>42</v>
      </c>
      <c r="C1066" s="2">
        <v>162</v>
      </c>
      <c r="D1066" s="11">
        <v>1791329011.7564569</v>
      </c>
      <c r="E1066" s="7">
        <f>D1066-D905</f>
        <v>176.518781661987</v>
      </c>
      <c r="F1066" s="9">
        <v>3150</v>
      </c>
      <c r="G1066" s="5">
        <f>(F1066-F1065)/$G$2/(D1066-D1065)*100</f>
        <v>10.0138852443396</v>
      </c>
    </row>
    <row r="1067" spans="1:7" x14ac:dyDescent="0.25">
      <c r="A1067" s="2">
        <v>6</v>
      </c>
      <c r="B1067" s="2" t="s">
        <v>42</v>
      </c>
      <c r="C1067" s="2">
        <v>163</v>
      </c>
      <c r="D1067" s="11">
        <v>1791329012.8603384</v>
      </c>
      <c r="E1067" s="7">
        <f>D1067-D905</f>
        <v>177.622663259506</v>
      </c>
      <c r="F1067" s="9">
        <v>3162</v>
      </c>
      <c r="G1067" s="5">
        <f>(F1067-F1066)/$G$2/(D1067-D1066)*100</f>
        <v>10.8707310883442</v>
      </c>
    </row>
    <row r="1068" spans="1:7" x14ac:dyDescent="0.25">
      <c r="A1068" s="2">
        <v>6</v>
      </c>
      <c r="B1068" s="2" t="s">
        <v>42</v>
      </c>
      <c r="C1068" s="2">
        <v>164</v>
      </c>
      <c r="D1068" s="11">
        <v>1791329013.940949</v>
      </c>
      <c r="E1068" s="7">
        <f>D1068-D905</f>
        <v>178.703273773193</v>
      </c>
      <c r="F1068" s="9">
        <v>3173</v>
      </c>
      <c r="G1068" s="5">
        <f>(F1068-F1067)/$G$2/(D1068-D1067)*100</f>
        <v>10.1794308501285</v>
      </c>
    </row>
    <row r="1069" spans="1:7" x14ac:dyDescent="0.25">
      <c r="A1069" s="2">
        <v>6</v>
      </c>
      <c r="B1069" s="2" t="s">
        <v>42</v>
      </c>
      <c r="C1069" s="2">
        <v>165</v>
      </c>
      <c r="D1069" s="11">
        <v>1791329014.9982102</v>
      </c>
      <c r="E1069" s="7">
        <f>D1069-D905</f>
        <v>179.760535001755</v>
      </c>
      <c r="F1069" s="9">
        <v>3185</v>
      </c>
      <c r="G1069" s="5">
        <f>(F1069-F1068)/$G$2/(D1069-D1068)*100</f>
        <v>11.3500804492076</v>
      </c>
    </row>
    <row r="1070" spans="1:7" x14ac:dyDescent="0.25">
      <c r="A1070" s="2">
        <v>6</v>
      </c>
      <c r="B1070" s="2" t="s">
        <v>42</v>
      </c>
      <c r="C1070" s="2">
        <v>166</v>
      </c>
      <c r="D1070" s="11">
        <v>1791329016.0954149</v>
      </c>
      <c r="E1070" s="7">
        <f>D1070-D905</f>
        <v>180.857739686966</v>
      </c>
      <c r="F1070" s="9">
        <v>3196</v>
      </c>
      <c r="G1070" s="5">
        <f>(F1070-F1069)/$G$2/(D1070-D1069)*100</f>
        <v>10.0254766938794</v>
      </c>
    </row>
    <row r="1071" spans="1:7" x14ac:dyDescent="0.25">
      <c r="A1071" s="2">
        <v>6</v>
      </c>
      <c r="B1071" s="2" t="s">
        <v>42</v>
      </c>
      <c r="C1071" s="2">
        <v>167</v>
      </c>
      <c r="D1071" s="11">
        <v>1791329017.2002192</v>
      </c>
      <c r="E1071" s="7">
        <f>D1071-D905</f>
        <v>181.962543964386</v>
      </c>
      <c r="F1071" s="9">
        <v>3208</v>
      </c>
      <c r="G1071" s="5">
        <f>(F1071-F1070)/$G$2/(D1071-D1070)*100</f>
        <v>10.8616523716061</v>
      </c>
    </row>
    <row r="1072" spans="1:7" x14ac:dyDescent="0.25">
      <c r="A1072" s="2">
        <v>6</v>
      </c>
      <c r="B1072" s="2" t="s">
        <v>42</v>
      </c>
      <c r="C1072" s="2">
        <v>168</v>
      </c>
      <c r="D1072" s="11">
        <v>1791329018.2703173</v>
      </c>
      <c r="E1072" s="7">
        <f>D1072-D905</f>
        <v>183.032642126083</v>
      </c>
      <c r="F1072" s="9">
        <v>3225</v>
      </c>
      <c r="G1072" s="5">
        <f>(F1072-F1071)/$G$2/(D1072-D1071)*100</f>
        <v>15.8863930511147</v>
      </c>
    </row>
    <row r="1073" spans="1:7" x14ac:dyDescent="0.25">
      <c r="A1073" s="2">
        <v>6</v>
      </c>
      <c r="B1073" s="2" t="s">
        <v>42</v>
      </c>
      <c r="C1073" s="2">
        <v>169</v>
      </c>
      <c r="D1073" s="11">
        <v>1791329019.3316624</v>
      </c>
      <c r="E1073" s="7">
        <f>D1073-D905</f>
        <v>184.093987226486</v>
      </c>
      <c r="F1073" s="9">
        <v>3246</v>
      </c>
      <c r="G1073" s="5">
        <f>(F1073-F1072)/$G$2/(D1073-D1072)*100</f>
        <v>19.7862127898169</v>
      </c>
    </row>
    <row r="1074" spans="1:7" x14ac:dyDescent="0.25">
      <c r="A1074" s="2">
        <v>6</v>
      </c>
      <c r="B1074" s="2" t="s">
        <v>42</v>
      </c>
      <c r="C1074" s="2">
        <v>170</v>
      </c>
      <c r="D1074" s="11">
        <v>1791329020.4164608</v>
      </c>
      <c r="E1074" s="7">
        <f>D1074-D905</f>
        <v>185.178785562515</v>
      </c>
      <c r="F1074" s="9">
        <v>3256</v>
      </c>
      <c r="G1074" s="5">
        <f>(F1074-F1073)/$G$2/(D1074-D1073)*100</f>
        <v>9.21830322546898</v>
      </c>
    </row>
    <row r="1075" spans="1:7" x14ac:dyDescent="0.25">
      <c r="A1075" s="2">
        <v>6</v>
      </c>
      <c r="B1075" s="2" t="s">
        <v>42</v>
      </c>
      <c r="C1075" s="2">
        <v>171</v>
      </c>
      <c r="D1075" s="11">
        <v>1791329021.5557594</v>
      </c>
      <c r="E1075" s="7">
        <f>D1075-D905</f>
        <v>186.31808423996</v>
      </c>
      <c r="F1075" s="9">
        <v>3268</v>
      </c>
      <c r="G1075" s="5">
        <f>(F1075-F1074)/$G$2/(D1075-D1074)*100</f>
        <v>10.5327955149715</v>
      </c>
    </row>
    <row r="1076" spans="1:7" x14ac:dyDescent="0.25">
      <c r="A1076" s="2">
        <v>6</v>
      </c>
      <c r="B1076" s="2" t="s">
        <v>42</v>
      </c>
      <c r="C1076" s="2">
        <v>172</v>
      </c>
      <c r="D1076" s="11">
        <v>1791329022.662931</v>
      </c>
      <c r="E1076" s="7">
        <f>D1076-D905</f>
        <v>187.425255775452</v>
      </c>
      <c r="F1076" s="9">
        <v>3280</v>
      </c>
      <c r="G1076" s="5">
        <f>(F1076-F1075)/$G$2/(D1076-D1075)*100</f>
        <v>10.838428929324</v>
      </c>
    </row>
    <row r="1077" spans="1:7" x14ac:dyDescent="0.25">
      <c r="A1077" s="2">
        <v>6</v>
      </c>
      <c r="B1077" s="2" t="s">
        <v>42</v>
      </c>
      <c r="C1077" s="2">
        <v>173</v>
      </c>
      <c r="D1077" s="11">
        <v>1791329023.7613292</v>
      </c>
      <c r="E1077" s="7">
        <f>D1077-D905</f>
        <v>188.52365398407</v>
      </c>
      <c r="F1077" s="9">
        <v>3293</v>
      </c>
      <c r="G1077" s="5">
        <f>(F1077-F1076)/$G$2/(D1077-D1076)*100</f>
        <v>11.8354162433992</v>
      </c>
    </row>
    <row r="1078" spans="1:7" x14ac:dyDescent="0.25">
      <c r="A1078" s="2">
        <v>6</v>
      </c>
      <c r="B1078" s="2" t="s">
        <v>42</v>
      </c>
      <c r="C1078" s="2">
        <v>174</v>
      </c>
      <c r="D1078" s="11">
        <v>1791329024.8712091</v>
      </c>
      <c r="E1078" s="7">
        <f>D1078-D905</f>
        <v>189.63353395462</v>
      </c>
      <c r="F1078" s="9">
        <v>3306</v>
      </c>
      <c r="G1078" s="5">
        <f>(F1078-F1077)/$G$2/(D1078-D1077)*100</f>
        <v>11.7129782903926</v>
      </c>
    </row>
    <row r="1079" spans="1:7" x14ac:dyDescent="0.25">
      <c r="A1079" s="2">
        <v>6</v>
      </c>
      <c r="B1079" s="2" t="s">
        <v>42</v>
      </c>
      <c r="C1079" s="2">
        <v>175</v>
      </c>
      <c r="D1079" s="11">
        <v>1791329025.9763052</v>
      </c>
      <c r="E1079" s="7">
        <f>D1079-D905</f>
        <v>190.738630056381</v>
      </c>
      <c r="F1079" s="9">
        <v>3317</v>
      </c>
      <c r="G1079" s="5">
        <f>(F1079-F1078)/$G$2/(D1079-D1078)*100</f>
        <v>9.95388544260771</v>
      </c>
    </row>
    <row r="1080" spans="1:7" x14ac:dyDescent="0.25">
      <c r="A1080" s="2">
        <v>6</v>
      </c>
      <c r="B1080" s="2" t="s">
        <v>42</v>
      </c>
      <c r="C1080" s="2">
        <v>176</v>
      </c>
      <c r="D1080" s="11">
        <v>1791329027.0455415</v>
      </c>
      <c r="E1080" s="7">
        <f>D1080-D905</f>
        <v>191.807866334915</v>
      </c>
      <c r="F1080" s="9">
        <v>3321</v>
      </c>
      <c r="G1080" s="5">
        <f>(F1080-F1079)/$G$2/(D1080-D1079)*100</f>
        <v>3.74098791848377</v>
      </c>
    </row>
    <row r="1081" spans="1:7" x14ac:dyDescent="0.25">
      <c r="A1081" s="2">
        <v>6</v>
      </c>
      <c r="B1081" s="2" t="s">
        <v>42</v>
      </c>
      <c r="C1081" s="2">
        <v>177</v>
      </c>
      <c r="D1081" s="11">
        <v>1791329028.1191537</v>
      </c>
      <c r="E1081" s="7">
        <f>D1081-D905</f>
        <v>192.88147854805</v>
      </c>
      <c r="F1081" s="9">
        <v>3331</v>
      </c>
      <c r="G1081" s="5">
        <f>(F1081-F1080)/$G$2/(D1081-D1080)*100</f>
        <v>9.31435007692554</v>
      </c>
    </row>
    <row r="1082" spans="1:7" x14ac:dyDescent="0.25">
      <c r="A1082" s="2">
        <v>6</v>
      </c>
      <c r="B1082" s="2" t="s">
        <v>42</v>
      </c>
      <c r="C1082" s="2">
        <v>178</v>
      </c>
      <c r="D1082" s="11">
        <v>1791329029.1993153</v>
      </c>
      <c r="E1082" s="7">
        <f>D1082-D905</f>
        <v>193.961640119553</v>
      </c>
      <c r="F1082" s="9">
        <v>3338</v>
      </c>
      <c r="G1082" s="5">
        <f>(F1082-F1081)/$G$2/(D1082-D1081)*100</f>
        <v>6.48051197587212</v>
      </c>
    </row>
    <row r="1083" spans="1:7" x14ac:dyDescent="0.25">
      <c r="A1083" s="2">
        <v>6</v>
      </c>
      <c r="B1083" s="2" t="s">
        <v>42</v>
      </c>
      <c r="C1083" s="2">
        <v>179</v>
      </c>
      <c r="D1083" s="11">
        <v>1791329030.275442</v>
      </c>
      <c r="E1083" s="7">
        <f>D1083-D905</f>
        <v>195.037766695023</v>
      </c>
      <c r="F1083" s="9">
        <v>3352</v>
      </c>
      <c r="G1083" s="5">
        <f>(F1083-F1082)/$G$2/(D1083-D1082)*100</f>
        <v>13.009622026931</v>
      </c>
    </row>
    <row r="1084" spans="1:7" x14ac:dyDescent="0.25">
      <c r="A1084" s="2">
        <v>6</v>
      </c>
      <c r="B1084" s="2" t="s">
        <v>42</v>
      </c>
      <c r="C1084" s="2">
        <v>180</v>
      </c>
      <c r="D1084" s="11">
        <v>1791329031.3591912</v>
      </c>
      <c r="E1084" s="7">
        <f>D1084-D905</f>
        <v>196.121515989304</v>
      </c>
      <c r="F1084" s="9">
        <v>3373</v>
      </c>
      <c r="G1084" s="5">
        <f>(F1084-F1083)/$G$2/(D1084-D1083)*100</f>
        <v>19.3771752478345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2" max="2" width="7" customWidth="1"/>
    <col min="4" max="4" width="22" customWidth="1"/>
    <col min="5" max="5" width="12" customWidth="1"/>
    <col min="6" max="6" width="10" customWidth="1"/>
  </cols>
  <sheetData>
    <row r="1" spans="1:1" x14ac:dyDescent="0.25">
      <c r="A1" s="1" t="s">
        <v>59</v>
      </c>
    </row>
    <row r="2" spans="1:1" x14ac:dyDescent="0.25">
      <c r="A2" s="2" t="s">
        <v>60</v>
      </c>
    </row>
    <row r="4" ht="42" customHeight="1" spans="1:6" x14ac:dyDescent="0.25">
      <c r="A4" s="3" t="s">
        <v>29</v>
      </c>
      <c r="B4" s="3" t="s">
        <v>30</v>
      </c>
      <c r="C4" s="3" t="s">
        <v>54</v>
      </c>
      <c r="D4" s="3" t="s">
        <v>55</v>
      </c>
      <c r="E4" s="3" t="s">
        <v>61</v>
      </c>
      <c r="F4" s="3" t="s">
        <v>62</v>
      </c>
    </row>
    <row r="5" spans="1:6" x14ac:dyDescent="0.25">
      <c r="A5" s="2">
        <v>1</v>
      </c>
      <c r="B5" s="2" t="s">
        <v>42</v>
      </c>
      <c r="C5" s="2">
        <v>1</v>
      </c>
      <c r="D5" s="11">
        <v>1791326967.8581493</v>
      </c>
      <c r="E5" s="9">
        <v>229284</v>
      </c>
      <c r="F5" s="7">
        <f>E5*1024/1000000</f>
        <v>234.786816</v>
      </c>
    </row>
    <row r="6" spans="1:6" x14ac:dyDescent="0.25">
      <c r="A6" s="2">
        <v>1</v>
      </c>
      <c r="B6" s="2" t="s">
        <v>42</v>
      </c>
      <c r="C6" s="2">
        <v>2</v>
      </c>
      <c r="D6" s="11">
        <v>1791326978.7584796</v>
      </c>
      <c r="E6" s="9">
        <v>243308</v>
      </c>
      <c r="F6" s="7">
        <f>E6*1024/1000000</f>
        <v>249.147392</v>
      </c>
    </row>
    <row r="7" spans="1:6" x14ac:dyDescent="0.25">
      <c r="A7" s="2">
        <v>1</v>
      </c>
      <c r="B7" s="2" t="s">
        <v>42</v>
      </c>
      <c r="C7" s="2">
        <v>3</v>
      </c>
      <c r="D7" s="11">
        <v>1791326989.5781946</v>
      </c>
      <c r="E7" s="9">
        <v>235092</v>
      </c>
      <c r="F7" s="7">
        <f>E7*1024/1000000</f>
        <v>240.734208</v>
      </c>
    </row>
    <row r="8" spans="1:6" x14ac:dyDescent="0.25">
      <c r="A8" s="2">
        <v>1</v>
      </c>
      <c r="B8" s="2" t="s">
        <v>42</v>
      </c>
      <c r="C8" s="2">
        <v>4</v>
      </c>
      <c r="D8" s="11">
        <v>1791327000.5744638</v>
      </c>
      <c r="E8" s="9">
        <v>248748</v>
      </c>
      <c r="F8" s="7">
        <f>E8*1024/1000000</f>
        <v>254.717952</v>
      </c>
    </row>
    <row r="9" spans="1:6" x14ac:dyDescent="0.25">
      <c r="A9" s="2">
        <v>1</v>
      </c>
      <c r="B9" s="2" t="s">
        <v>42</v>
      </c>
      <c r="C9" s="2">
        <v>5</v>
      </c>
      <c r="D9" s="11">
        <v>1791327011.5488353</v>
      </c>
      <c r="E9" s="9">
        <v>237024</v>
      </c>
      <c r="F9" s="7">
        <f>E9*1024/1000000</f>
        <v>242.712576</v>
      </c>
    </row>
    <row r="10" spans="1:6" x14ac:dyDescent="0.25">
      <c r="A10" s="2">
        <v>1</v>
      </c>
      <c r="B10" s="2" t="s">
        <v>42</v>
      </c>
      <c r="C10" s="2">
        <v>6</v>
      </c>
      <c r="D10" s="11">
        <v>1791327022.4651375</v>
      </c>
      <c r="E10" s="9">
        <v>230528</v>
      </c>
      <c r="F10" s="7">
        <f>E10*1024/1000000</f>
        <v>236.060672</v>
      </c>
    </row>
    <row r="11" spans="1:6" x14ac:dyDescent="0.25">
      <c r="A11" s="2">
        <v>1</v>
      </c>
      <c r="B11" s="2" t="s">
        <v>42</v>
      </c>
      <c r="C11" s="2">
        <v>7</v>
      </c>
      <c r="D11" s="11">
        <v>1791327033.4469972</v>
      </c>
      <c r="E11" s="9">
        <v>243852</v>
      </c>
      <c r="F11" s="7">
        <f>E11*1024/1000000</f>
        <v>249.704448</v>
      </c>
    </row>
    <row r="12" spans="1:6" x14ac:dyDescent="0.25">
      <c r="A12" s="2">
        <v>1</v>
      </c>
      <c r="B12" s="2" t="s">
        <v>42</v>
      </c>
      <c r="C12" s="2">
        <v>8</v>
      </c>
      <c r="D12" s="11">
        <v>1791327044.3367198</v>
      </c>
      <c r="E12" s="9">
        <v>230560</v>
      </c>
      <c r="F12" s="7">
        <f>E12*1024/1000000</f>
        <v>236.09344</v>
      </c>
    </row>
    <row r="13" spans="1:6" x14ac:dyDescent="0.25">
      <c r="A13" s="2">
        <v>1</v>
      </c>
      <c r="B13" s="2" t="s">
        <v>42</v>
      </c>
      <c r="C13" s="2">
        <v>9</v>
      </c>
      <c r="D13" s="11">
        <v>1791327055.2802477</v>
      </c>
      <c r="E13" s="9">
        <v>244244</v>
      </c>
      <c r="F13" s="7">
        <f>E13*1024/1000000</f>
        <v>250.105856</v>
      </c>
    </row>
    <row r="14" spans="1:6" x14ac:dyDescent="0.25">
      <c r="A14" s="2">
        <v>1</v>
      </c>
      <c r="B14" s="2" t="s">
        <v>42</v>
      </c>
      <c r="C14" s="2">
        <v>10</v>
      </c>
      <c r="D14" s="11">
        <v>1791327066.1440632</v>
      </c>
      <c r="E14" s="9">
        <v>241920</v>
      </c>
      <c r="F14" s="7">
        <f>E14*1024/1000000</f>
        <v>247.72608</v>
      </c>
    </row>
    <row r="15" spans="1:6" x14ac:dyDescent="0.25">
      <c r="A15" s="2">
        <v>1</v>
      </c>
      <c r="B15" s="2" t="s">
        <v>42</v>
      </c>
      <c r="C15" s="2">
        <v>11</v>
      </c>
      <c r="D15" s="11">
        <v>1791327076.9383848</v>
      </c>
      <c r="E15" s="9">
        <v>233328</v>
      </c>
      <c r="F15" s="7">
        <f>E15*1024/1000000</f>
        <v>238.927872</v>
      </c>
    </row>
    <row r="16" spans="1:6" x14ac:dyDescent="0.25">
      <c r="A16" s="2">
        <v>1</v>
      </c>
      <c r="B16" s="2" t="s">
        <v>42</v>
      </c>
      <c r="C16" s="2">
        <v>12</v>
      </c>
      <c r="D16" s="11">
        <v>1791327087.8503792</v>
      </c>
      <c r="E16" s="9">
        <v>247140</v>
      </c>
      <c r="F16" s="7">
        <f>E16*1024/1000000</f>
        <v>253.07136</v>
      </c>
    </row>
    <row r="17" spans="1:6" x14ac:dyDescent="0.25">
      <c r="A17" s="2">
        <v>1</v>
      </c>
      <c r="B17" s="2" t="s">
        <v>42</v>
      </c>
      <c r="C17" s="2">
        <v>13</v>
      </c>
      <c r="D17" s="11">
        <v>1791327098.7747462</v>
      </c>
      <c r="E17" s="9">
        <v>236216</v>
      </c>
      <c r="F17" s="7">
        <f>E17*1024/1000000</f>
        <v>241.885184</v>
      </c>
    </row>
    <row r="18" spans="1:6" x14ac:dyDescent="0.25">
      <c r="A18" s="2">
        <v>1</v>
      </c>
      <c r="B18" s="2" t="s">
        <v>42</v>
      </c>
      <c r="C18" s="2">
        <v>14</v>
      </c>
      <c r="D18" s="11">
        <v>1791327109.8296878</v>
      </c>
      <c r="E18" s="9">
        <v>228676</v>
      </c>
      <c r="F18" s="7">
        <f>E18*1024/1000000</f>
        <v>234.164224</v>
      </c>
    </row>
    <row r="19" spans="1:6" x14ac:dyDescent="0.25">
      <c r="A19" s="2">
        <v>1</v>
      </c>
      <c r="B19" s="2" t="s">
        <v>42</v>
      </c>
      <c r="C19" s="2">
        <v>15</v>
      </c>
      <c r="D19" s="11">
        <v>1791327120.6523228</v>
      </c>
      <c r="E19" s="9">
        <v>242456</v>
      </c>
      <c r="F19" s="7">
        <f>E19*1024/1000000</f>
        <v>248.274944</v>
      </c>
    </row>
    <row r="20" spans="1:6" x14ac:dyDescent="0.25">
      <c r="A20" s="2">
        <v>1</v>
      </c>
      <c r="B20" s="2" t="s">
        <v>42</v>
      </c>
      <c r="C20" s="2">
        <v>16</v>
      </c>
      <c r="D20" s="11">
        <v>1791327131.612285</v>
      </c>
      <c r="E20" s="9">
        <v>229084</v>
      </c>
      <c r="F20" s="7">
        <f>E20*1024/1000000</f>
        <v>234.582016</v>
      </c>
    </row>
    <row r="21" spans="1:6" x14ac:dyDescent="0.25">
      <c r="A21" s="2">
        <v>1</v>
      </c>
      <c r="B21" s="2" t="s">
        <v>42</v>
      </c>
      <c r="C21" s="2">
        <v>17</v>
      </c>
      <c r="D21" s="11">
        <v>1791327142.6034877</v>
      </c>
      <c r="E21" s="9">
        <v>242544</v>
      </c>
      <c r="F21" s="7">
        <f>E21*1024/1000000</f>
        <v>248.365056</v>
      </c>
    </row>
    <row r="22" spans="1:6" x14ac:dyDescent="0.25">
      <c r="A22" s="2">
        <v>1</v>
      </c>
      <c r="B22" s="2" t="s">
        <v>42</v>
      </c>
      <c r="C22" s="2">
        <v>18</v>
      </c>
      <c r="D22" s="11">
        <v>1791327153.5011408</v>
      </c>
      <c r="E22" s="9">
        <v>234372</v>
      </c>
      <c r="F22" s="7">
        <f>E22*1024/1000000</f>
        <v>239.996928</v>
      </c>
    </row>
    <row r="23" spans="1:6" x14ac:dyDescent="0.25">
      <c r="A23" s="2">
        <v>2</v>
      </c>
      <c r="B23" s="2" t="s">
        <v>45</v>
      </c>
      <c r="C23" s="2">
        <v>1</v>
      </c>
      <c r="D23" s="11">
        <v>1791327308.1057124</v>
      </c>
      <c r="E23" s="9">
        <v>233996</v>
      </c>
      <c r="F23" s="7">
        <f>E23*1024/1000000</f>
        <v>239.611904</v>
      </c>
    </row>
    <row r="24" spans="1:6" x14ac:dyDescent="0.25">
      <c r="A24" s="2">
        <v>2</v>
      </c>
      <c r="B24" s="2" t="s">
        <v>45</v>
      </c>
      <c r="C24" s="2">
        <v>2</v>
      </c>
      <c r="D24" s="11">
        <v>1791327318.8845615</v>
      </c>
      <c r="E24" s="9">
        <v>247644</v>
      </c>
      <c r="F24" s="7">
        <f>E24*1024/1000000</f>
        <v>253.587456</v>
      </c>
    </row>
    <row r="25" spans="1:6" x14ac:dyDescent="0.25">
      <c r="A25" s="2">
        <v>2</v>
      </c>
      <c r="B25" s="2" t="s">
        <v>45</v>
      </c>
      <c r="C25" s="2">
        <v>3</v>
      </c>
      <c r="D25" s="11">
        <v>1791327329.9263046</v>
      </c>
      <c r="E25" s="9">
        <v>239208</v>
      </c>
      <c r="F25" s="7">
        <f>E25*1024/1000000</f>
        <v>244.948992</v>
      </c>
    </row>
    <row r="26" spans="1:6" x14ac:dyDescent="0.25">
      <c r="A26" s="2">
        <v>2</v>
      </c>
      <c r="B26" s="2" t="s">
        <v>45</v>
      </c>
      <c r="C26" s="2">
        <v>4</v>
      </c>
      <c r="D26" s="11">
        <v>1791327340.9454966</v>
      </c>
      <c r="E26" s="9">
        <v>252948</v>
      </c>
      <c r="F26" s="7">
        <f>E26*1024/1000000</f>
        <v>259.018752</v>
      </c>
    </row>
    <row r="27" spans="1:6" x14ac:dyDescent="0.25">
      <c r="A27" s="2">
        <v>2</v>
      </c>
      <c r="B27" s="2" t="s">
        <v>45</v>
      </c>
      <c r="C27" s="2">
        <v>5</v>
      </c>
      <c r="D27" s="11">
        <v>1791327351.7339637</v>
      </c>
      <c r="E27" s="9">
        <v>242352</v>
      </c>
      <c r="F27" s="7">
        <f>E27*1024/1000000</f>
        <v>248.168448</v>
      </c>
    </row>
    <row r="28" spans="1:6" x14ac:dyDescent="0.25">
      <c r="A28" s="2">
        <v>2</v>
      </c>
      <c r="B28" s="2" t="s">
        <v>45</v>
      </c>
      <c r="C28" s="2">
        <v>6</v>
      </c>
      <c r="D28" s="11">
        <v>1791327362.7044537</v>
      </c>
      <c r="E28" s="9">
        <v>233008</v>
      </c>
      <c r="F28" s="7">
        <f>E28*1024/1000000</f>
        <v>238.600192</v>
      </c>
    </row>
    <row r="29" spans="1:6" x14ac:dyDescent="0.25">
      <c r="A29" s="2">
        <v>2</v>
      </c>
      <c r="B29" s="2" t="s">
        <v>45</v>
      </c>
      <c r="C29" s="2">
        <v>7</v>
      </c>
      <c r="D29" s="11">
        <v>1791327373.6097162</v>
      </c>
      <c r="E29" s="9">
        <v>246276</v>
      </c>
      <c r="F29" s="7">
        <f>E29*1024/1000000</f>
        <v>252.186624</v>
      </c>
    </row>
    <row r="30" spans="1:6" x14ac:dyDescent="0.25">
      <c r="A30" s="2">
        <v>2</v>
      </c>
      <c r="B30" s="2" t="s">
        <v>45</v>
      </c>
      <c r="C30" s="2">
        <v>8</v>
      </c>
      <c r="D30" s="11">
        <v>1791327384.4489963</v>
      </c>
      <c r="E30" s="9">
        <v>238232</v>
      </c>
      <c r="F30" s="7">
        <f>E30*1024/1000000</f>
        <v>243.949568</v>
      </c>
    </row>
    <row r="31" spans="1:6" x14ac:dyDescent="0.25">
      <c r="A31" s="2">
        <v>2</v>
      </c>
      <c r="B31" s="2" t="s">
        <v>45</v>
      </c>
      <c r="C31" s="2">
        <v>9</v>
      </c>
      <c r="D31" s="11">
        <v>1791327395.4310956</v>
      </c>
      <c r="E31" s="9">
        <v>252232</v>
      </c>
      <c r="F31" s="7">
        <f>E31*1024/1000000</f>
        <v>258.285568</v>
      </c>
    </row>
    <row r="32" spans="1:6" x14ac:dyDescent="0.25">
      <c r="A32" s="2">
        <v>2</v>
      </c>
      <c r="B32" s="2" t="s">
        <v>45</v>
      </c>
      <c r="C32" s="2">
        <v>10</v>
      </c>
      <c r="D32" s="11">
        <v>1791327406.3842466</v>
      </c>
      <c r="E32" s="9">
        <v>242220</v>
      </c>
      <c r="F32" s="7">
        <f>E32*1024/1000000</f>
        <v>248.03328</v>
      </c>
    </row>
    <row r="33" spans="1:6" x14ac:dyDescent="0.25">
      <c r="A33" s="2">
        <v>2</v>
      </c>
      <c r="B33" s="2" t="s">
        <v>45</v>
      </c>
      <c r="C33" s="2">
        <v>11</v>
      </c>
      <c r="D33" s="11">
        <v>1791327417.130134</v>
      </c>
      <c r="E33" s="9">
        <v>242532</v>
      </c>
      <c r="F33" s="7">
        <f>E33*1024/1000000</f>
        <v>248.352768</v>
      </c>
    </row>
    <row r="34" spans="1:6" x14ac:dyDescent="0.25">
      <c r="A34" s="2">
        <v>2</v>
      </c>
      <c r="B34" s="2" t="s">
        <v>45</v>
      </c>
      <c r="C34" s="2">
        <v>12</v>
      </c>
      <c r="D34" s="11">
        <v>1791327428.0522738</v>
      </c>
      <c r="E34" s="9">
        <v>233808</v>
      </c>
      <c r="F34" s="7">
        <f>E34*1024/1000000</f>
        <v>239.419392</v>
      </c>
    </row>
    <row r="35" spans="1:6" x14ac:dyDescent="0.25">
      <c r="A35" s="2">
        <v>2</v>
      </c>
      <c r="B35" s="2" t="s">
        <v>45</v>
      </c>
      <c r="C35" s="2">
        <v>13</v>
      </c>
      <c r="D35" s="11">
        <v>1791327439.0149896</v>
      </c>
      <c r="E35" s="9">
        <v>248056</v>
      </c>
      <c r="F35" s="7">
        <f>E35*1024/1000000</f>
        <v>254.009344</v>
      </c>
    </row>
    <row r="36" spans="1:6" x14ac:dyDescent="0.25">
      <c r="A36" s="2">
        <v>2</v>
      </c>
      <c r="B36" s="2" t="s">
        <v>45</v>
      </c>
      <c r="C36" s="2">
        <v>14</v>
      </c>
      <c r="D36" s="11">
        <v>1791327450.0014117</v>
      </c>
      <c r="E36" s="9">
        <v>238948</v>
      </c>
      <c r="F36" s="7">
        <f>E36*1024/1000000</f>
        <v>244.682752</v>
      </c>
    </row>
    <row r="37" spans="1:6" x14ac:dyDescent="0.25">
      <c r="A37" s="2">
        <v>2</v>
      </c>
      <c r="B37" s="2" t="s">
        <v>45</v>
      </c>
      <c r="C37" s="2">
        <v>15</v>
      </c>
      <c r="D37" s="11">
        <v>1791327460.9893653</v>
      </c>
      <c r="E37" s="9">
        <v>252836</v>
      </c>
      <c r="F37" s="7">
        <f>E37*1024/1000000</f>
        <v>258.904064</v>
      </c>
    </row>
    <row r="38" spans="1:6" x14ac:dyDescent="0.25">
      <c r="A38" s="2">
        <v>2</v>
      </c>
      <c r="B38" s="2" t="s">
        <v>45</v>
      </c>
      <c r="C38" s="2">
        <v>16</v>
      </c>
      <c r="D38" s="11">
        <v>1791327471.9904518</v>
      </c>
      <c r="E38" s="9">
        <v>242524</v>
      </c>
      <c r="F38" s="7">
        <f>E38*1024/1000000</f>
        <v>248.344576</v>
      </c>
    </row>
    <row r="39" spans="1:6" x14ac:dyDescent="0.25">
      <c r="A39" s="2">
        <v>2</v>
      </c>
      <c r="B39" s="2" t="s">
        <v>45</v>
      </c>
      <c r="C39" s="2">
        <v>17</v>
      </c>
      <c r="D39" s="11">
        <v>1791327483.0217378</v>
      </c>
      <c r="E39" s="9">
        <v>234508</v>
      </c>
      <c r="F39" s="7">
        <f>E39*1024/1000000</f>
        <v>240.136192</v>
      </c>
    </row>
    <row r="40" spans="1:6" x14ac:dyDescent="0.25">
      <c r="A40" s="2">
        <v>2</v>
      </c>
      <c r="B40" s="2" t="s">
        <v>45</v>
      </c>
      <c r="C40" s="2">
        <v>18</v>
      </c>
      <c r="D40" s="11">
        <v>1791327493.9481103</v>
      </c>
      <c r="E40" s="9">
        <v>248080</v>
      </c>
      <c r="F40" s="7">
        <f>E40*1024/1000000</f>
        <v>254.03392</v>
      </c>
    </row>
    <row r="41" spans="1:6" x14ac:dyDescent="0.25">
      <c r="A41" s="2">
        <v>3</v>
      </c>
      <c r="B41" s="2" t="s">
        <v>42</v>
      </c>
      <c r="C41" s="2">
        <v>1</v>
      </c>
      <c r="D41" s="11">
        <v>1791327885.1331258</v>
      </c>
      <c r="E41" s="9">
        <v>226160</v>
      </c>
      <c r="F41" s="7">
        <f>E41*1024/1000000</f>
        <v>231.58784</v>
      </c>
    </row>
    <row r="42" spans="1:6" x14ac:dyDescent="0.25">
      <c r="A42" s="2">
        <v>3</v>
      </c>
      <c r="B42" s="2" t="s">
        <v>42</v>
      </c>
      <c r="C42" s="2">
        <v>2</v>
      </c>
      <c r="D42" s="11">
        <v>1791327896.1407483</v>
      </c>
      <c r="E42" s="9">
        <v>239708</v>
      </c>
      <c r="F42" s="7">
        <f>E42*1024/1000000</f>
        <v>245.460992</v>
      </c>
    </row>
    <row r="43" spans="1:6" x14ac:dyDescent="0.25">
      <c r="A43" s="2">
        <v>3</v>
      </c>
      <c r="B43" s="2" t="s">
        <v>42</v>
      </c>
      <c r="C43" s="2">
        <v>3</v>
      </c>
      <c r="D43" s="11">
        <v>1791327907.2157428</v>
      </c>
      <c r="E43" s="9">
        <v>230272</v>
      </c>
      <c r="F43" s="7">
        <f>E43*1024/1000000</f>
        <v>235.798528</v>
      </c>
    </row>
    <row r="44" spans="1:6" x14ac:dyDescent="0.25">
      <c r="A44" s="2">
        <v>3</v>
      </c>
      <c r="B44" s="2" t="s">
        <v>42</v>
      </c>
      <c r="C44" s="2">
        <v>4</v>
      </c>
      <c r="D44" s="11">
        <v>1791327918.2613187</v>
      </c>
      <c r="E44" s="9">
        <v>243540</v>
      </c>
      <c r="F44" s="7">
        <f>E44*1024/1000000</f>
        <v>249.38496</v>
      </c>
    </row>
    <row r="45" spans="1:6" x14ac:dyDescent="0.25">
      <c r="A45" s="2">
        <v>3</v>
      </c>
      <c r="B45" s="2" t="s">
        <v>42</v>
      </c>
      <c r="C45" s="2">
        <v>5</v>
      </c>
      <c r="D45" s="11">
        <v>1791327929.338892</v>
      </c>
      <c r="E45" s="9">
        <v>231712</v>
      </c>
      <c r="F45" s="7">
        <f>E45*1024/1000000</f>
        <v>237.273088</v>
      </c>
    </row>
    <row r="46" spans="1:6" x14ac:dyDescent="0.25">
      <c r="A46" s="2">
        <v>3</v>
      </c>
      <c r="B46" s="2" t="s">
        <v>42</v>
      </c>
      <c r="C46" s="2">
        <v>6</v>
      </c>
      <c r="D46" s="11">
        <v>1791327940.3594022</v>
      </c>
      <c r="E46" s="9">
        <v>245208</v>
      </c>
      <c r="F46" s="7">
        <f>E46*1024/1000000</f>
        <v>251.092992</v>
      </c>
    </row>
    <row r="47" spans="1:6" x14ac:dyDescent="0.25">
      <c r="A47" s="2">
        <v>3</v>
      </c>
      <c r="B47" s="2" t="s">
        <v>42</v>
      </c>
      <c r="C47" s="2">
        <v>7</v>
      </c>
      <c r="D47" s="11">
        <v>1791327951.406671</v>
      </c>
      <c r="E47" s="9">
        <v>234908</v>
      </c>
      <c r="F47" s="7">
        <f>E47*1024/1000000</f>
        <v>240.545792</v>
      </c>
    </row>
    <row r="48" spans="1:6" x14ac:dyDescent="0.25">
      <c r="A48" s="2">
        <v>3</v>
      </c>
      <c r="B48" s="2" t="s">
        <v>42</v>
      </c>
      <c r="C48" s="2">
        <v>8</v>
      </c>
      <c r="D48" s="11">
        <v>1791327962.3273625</v>
      </c>
      <c r="E48" s="9">
        <v>226820</v>
      </c>
      <c r="F48" s="7">
        <f>E48*1024/1000000</f>
        <v>232.26368</v>
      </c>
    </row>
    <row r="49" spans="1:6" x14ac:dyDescent="0.25">
      <c r="A49" s="2">
        <v>3</v>
      </c>
      <c r="B49" s="2" t="s">
        <v>42</v>
      </c>
      <c r="C49" s="2">
        <v>9</v>
      </c>
      <c r="D49" s="11">
        <v>1791327973.3580096</v>
      </c>
      <c r="E49" s="9">
        <v>240320</v>
      </c>
      <c r="F49" s="7">
        <f>E49*1024/1000000</f>
        <v>246.08768</v>
      </c>
    </row>
    <row r="50" spans="1:6" x14ac:dyDescent="0.25">
      <c r="A50" s="2">
        <v>3</v>
      </c>
      <c r="B50" s="2" t="s">
        <v>42</v>
      </c>
      <c r="C50" s="2">
        <v>10</v>
      </c>
      <c r="D50" s="11">
        <v>1791327984.2899644</v>
      </c>
      <c r="E50" s="9">
        <v>228048</v>
      </c>
      <c r="F50" s="7">
        <f>E50*1024/1000000</f>
        <v>233.521152</v>
      </c>
    </row>
    <row r="51" spans="1:6" x14ac:dyDescent="0.25">
      <c r="A51" s="2">
        <v>3</v>
      </c>
      <c r="B51" s="2" t="s">
        <v>42</v>
      </c>
      <c r="C51" s="2">
        <v>11</v>
      </c>
      <c r="D51" s="11">
        <v>1791327995.0913856</v>
      </c>
      <c r="E51" s="9">
        <v>226384</v>
      </c>
      <c r="F51" s="7">
        <f>E51*1024/1000000</f>
        <v>231.817216</v>
      </c>
    </row>
    <row r="52" spans="1:6" x14ac:dyDescent="0.25">
      <c r="A52" s="2">
        <v>3</v>
      </c>
      <c r="B52" s="2" t="s">
        <v>42</v>
      </c>
      <c r="C52" s="2">
        <v>12</v>
      </c>
      <c r="D52" s="11">
        <v>1791328005.9763703</v>
      </c>
      <c r="E52" s="9">
        <v>239452</v>
      </c>
      <c r="F52" s="7">
        <f>E52*1024/1000000</f>
        <v>245.198848</v>
      </c>
    </row>
    <row r="53" spans="1:6" x14ac:dyDescent="0.25">
      <c r="A53" s="2">
        <v>3</v>
      </c>
      <c r="B53" s="2" t="s">
        <v>42</v>
      </c>
      <c r="C53" s="2">
        <v>13</v>
      </c>
      <c r="D53" s="11">
        <v>1791328017.0372756</v>
      </c>
      <c r="E53" s="9">
        <v>230936</v>
      </c>
      <c r="F53" s="7">
        <f>E53*1024/1000000</f>
        <v>236.478464</v>
      </c>
    </row>
    <row r="54" spans="1:6" x14ac:dyDescent="0.25">
      <c r="A54" s="2">
        <v>3</v>
      </c>
      <c r="B54" s="2" t="s">
        <v>42</v>
      </c>
      <c r="C54" s="2">
        <v>14</v>
      </c>
      <c r="D54" s="11">
        <v>1791328028.0378227</v>
      </c>
      <c r="E54" s="9">
        <v>244236</v>
      </c>
      <c r="F54" s="7">
        <f>E54*1024/1000000</f>
        <v>250.097664</v>
      </c>
    </row>
    <row r="55" spans="1:6" x14ac:dyDescent="0.25">
      <c r="A55" s="2">
        <v>3</v>
      </c>
      <c r="B55" s="2" t="s">
        <v>42</v>
      </c>
      <c r="C55" s="2">
        <v>15</v>
      </c>
      <c r="D55" s="11">
        <v>1791328038.9732857</v>
      </c>
      <c r="E55" s="9">
        <v>233904</v>
      </c>
      <c r="F55" s="7">
        <f>E55*1024/1000000</f>
        <v>239.517696</v>
      </c>
    </row>
    <row r="56" spans="1:6" x14ac:dyDescent="0.25">
      <c r="A56" s="2">
        <v>3</v>
      </c>
      <c r="B56" s="2" t="s">
        <v>42</v>
      </c>
      <c r="C56" s="2">
        <v>16</v>
      </c>
      <c r="D56" s="11">
        <v>1791328049.9510453</v>
      </c>
      <c r="E56" s="9">
        <v>225660</v>
      </c>
      <c r="F56" s="7">
        <f>E56*1024/1000000</f>
        <v>231.07584</v>
      </c>
    </row>
    <row r="57" spans="1:6" x14ac:dyDescent="0.25">
      <c r="A57" s="2">
        <v>3</v>
      </c>
      <c r="B57" s="2" t="s">
        <v>42</v>
      </c>
      <c r="C57" s="2">
        <v>17</v>
      </c>
      <c r="D57" s="11">
        <v>1791328060.9471717</v>
      </c>
      <c r="E57" s="9">
        <v>239396</v>
      </c>
      <c r="F57" s="7">
        <f>E57*1024/1000000</f>
        <v>245.141504</v>
      </c>
    </row>
    <row r="58" spans="1:6" x14ac:dyDescent="0.25">
      <c r="A58" s="2">
        <v>3</v>
      </c>
      <c r="B58" s="2" t="s">
        <v>42</v>
      </c>
      <c r="C58" s="2">
        <v>18</v>
      </c>
      <c r="D58" s="11">
        <v>1791328071.913163</v>
      </c>
      <c r="E58" s="9">
        <v>226788</v>
      </c>
      <c r="F58" s="7">
        <f>E58*1024/1000000</f>
        <v>232.230912</v>
      </c>
    </row>
    <row r="59" spans="1:6" x14ac:dyDescent="0.25">
      <c r="A59" s="2">
        <v>4</v>
      </c>
      <c r="B59" s="2" t="s">
        <v>45</v>
      </c>
      <c r="C59" s="2">
        <v>1</v>
      </c>
      <c r="D59" s="11">
        <v>1791328198.5135105</v>
      </c>
      <c r="E59" s="9">
        <v>246296</v>
      </c>
      <c r="F59" s="7">
        <f>E59*1024/1000000</f>
        <v>252.207104</v>
      </c>
    </row>
    <row r="60" spans="1:6" x14ac:dyDescent="0.25">
      <c r="A60" s="2">
        <v>4</v>
      </c>
      <c r="B60" s="2" t="s">
        <v>45</v>
      </c>
      <c r="C60" s="2">
        <v>2</v>
      </c>
      <c r="D60" s="11">
        <v>1791328209.5211086</v>
      </c>
      <c r="E60" s="9">
        <v>235120</v>
      </c>
      <c r="F60" s="7">
        <f>E60*1024/1000000</f>
        <v>240.76288</v>
      </c>
    </row>
    <row r="61" spans="1:6" x14ac:dyDescent="0.25">
      <c r="A61" s="2">
        <v>4</v>
      </c>
      <c r="B61" s="2" t="s">
        <v>45</v>
      </c>
      <c r="C61" s="2">
        <v>3</v>
      </c>
      <c r="D61" s="11">
        <v>1791328220.076419</v>
      </c>
      <c r="E61" s="9">
        <v>225652</v>
      </c>
      <c r="F61" s="7">
        <f>E61*1024/1000000</f>
        <v>231.067648</v>
      </c>
    </row>
    <row r="62" spans="1:6" x14ac:dyDescent="0.25">
      <c r="A62" s="2">
        <v>4</v>
      </c>
      <c r="B62" s="2" t="s">
        <v>45</v>
      </c>
      <c r="C62" s="2">
        <v>4</v>
      </c>
      <c r="D62" s="11">
        <v>1791328230.783217</v>
      </c>
      <c r="E62" s="9">
        <v>239856</v>
      </c>
      <c r="F62" s="7">
        <f>E62*1024/1000000</f>
        <v>245.612544</v>
      </c>
    </row>
    <row r="63" spans="1:6" x14ac:dyDescent="0.25">
      <c r="A63" s="2">
        <v>4</v>
      </c>
      <c r="B63" s="2" t="s">
        <v>45</v>
      </c>
      <c r="C63" s="2">
        <v>5</v>
      </c>
      <c r="D63" s="11">
        <v>1791328241.697048</v>
      </c>
      <c r="E63" s="9">
        <v>231088</v>
      </c>
      <c r="F63" s="7">
        <f>E63*1024/1000000</f>
        <v>236.634112</v>
      </c>
    </row>
    <row r="64" spans="1:6" x14ac:dyDescent="0.25">
      <c r="A64" s="2">
        <v>4</v>
      </c>
      <c r="B64" s="2" t="s">
        <v>45</v>
      </c>
      <c r="C64" s="2">
        <v>6</v>
      </c>
      <c r="D64" s="11">
        <v>1791328252.4891994</v>
      </c>
      <c r="E64" s="9">
        <v>244908</v>
      </c>
      <c r="F64" s="7">
        <f>E64*1024/1000000</f>
        <v>250.785792</v>
      </c>
    </row>
    <row r="65" spans="1:6" x14ac:dyDescent="0.25">
      <c r="A65" s="2">
        <v>4</v>
      </c>
      <c r="B65" s="2" t="s">
        <v>45</v>
      </c>
      <c r="C65" s="2">
        <v>7</v>
      </c>
      <c r="D65" s="11">
        <v>1791328263.3958838</v>
      </c>
      <c r="E65" s="9">
        <v>233472</v>
      </c>
      <c r="F65" s="7">
        <f>E65*1024/1000000</f>
        <v>239.075328</v>
      </c>
    </row>
    <row r="66" spans="1:6" x14ac:dyDescent="0.25">
      <c r="A66" s="2">
        <v>4</v>
      </c>
      <c r="B66" s="2" t="s">
        <v>45</v>
      </c>
      <c r="C66" s="2">
        <v>8</v>
      </c>
      <c r="D66" s="11">
        <v>1791328274.327406</v>
      </c>
      <c r="E66" s="9">
        <v>226384</v>
      </c>
      <c r="F66" s="7">
        <f>E66*1024/1000000</f>
        <v>231.817216</v>
      </c>
    </row>
    <row r="67" spans="1:6" x14ac:dyDescent="0.25">
      <c r="A67" s="2">
        <v>4</v>
      </c>
      <c r="B67" s="2" t="s">
        <v>45</v>
      </c>
      <c r="C67" s="2">
        <v>9</v>
      </c>
      <c r="D67" s="11">
        <v>1791328285.2942755</v>
      </c>
      <c r="E67" s="9">
        <v>240128</v>
      </c>
      <c r="F67" s="7">
        <f>E67*1024/1000000</f>
        <v>245.891072</v>
      </c>
    </row>
    <row r="68" spans="1:6" x14ac:dyDescent="0.25">
      <c r="A68" s="2">
        <v>4</v>
      </c>
      <c r="B68" s="2" t="s">
        <v>45</v>
      </c>
      <c r="C68" s="2">
        <v>10</v>
      </c>
      <c r="D68" s="11">
        <v>1791328296.2121289</v>
      </c>
      <c r="E68" s="9">
        <v>240128</v>
      </c>
      <c r="F68" s="7">
        <f>E68*1024/1000000</f>
        <v>245.891072</v>
      </c>
    </row>
    <row r="69" spans="1:6" x14ac:dyDescent="0.25">
      <c r="A69" s="2">
        <v>4</v>
      </c>
      <c r="B69" s="2" t="s">
        <v>45</v>
      </c>
      <c r="C69" s="2">
        <v>11</v>
      </c>
      <c r="D69" s="11">
        <v>1791328307.18023</v>
      </c>
      <c r="E69" s="9">
        <v>228936</v>
      </c>
      <c r="F69" s="7">
        <f>E69*1024/1000000</f>
        <v>234.430464</v>
      </c>
    </row>
    <row r="70" spans="1:6" x14ac:dyDescent="0.25">
      <c r="A70" s="2">
        <v>4</v>
      </c>
      <c r="B70" s="2" t="s">
        <v>45</v>
      </c>
      <c r="C70" s="2">
        <v>12</v>
      </c>
      <c r="D70" s="11">
        <v>1791328318.1157706</v>
      </c>
      <c r="E70" s="9">
        <v>243496</v>
      </c>
      <c r="F70" s="7">
        <f>E70*1024/1000000</f>
        <v>249.339904</v>
      </c>
    </row>
    <row r="71" spans="1:6" x14ac:dyDescent="0.25">
      <c r="A71" s="2">
        <v>4</v>
      </c>
      <c r="B71" s="2" t="s">
        <v>45</v>
      </c>
      <c r="C71" s="2">
        <v>13</v>
      </c>
      <c r="D71" s="11">
        <v>1791328328.6971548</v>
      </c>
      <c r="E71" s="9">
        <v>231912</v>
      </c>
      <c r="F71" s="7">
        <f>E71*1024/1000000</f>
        <v>237.477888</v>
      </c>
    </row>
    <row r="72" spans="1:6" x14ac:dyDescent="0.25">
      <c r="A72" s="2">
        <v>4</v>
      </c>
      <c r="B72" s="2" t="s">
        <v>45</v>
      </c>
      <c r="C72" s="2">
        <v>14</v>
      </c>
      <c r="D72" s="11">
        <v>1791328339.6057723</v>
      </c>
      <c r="E72" s="9">
        <v>224140</v>
      </c>
      <c r="F72" s="7">
        <f>E72*1024/1000000</f>
        <v>229.51936</v>
      </c>
    </row>
    <row r="73" spans="1:6" x14ac:dyDescent="0.25">
      <c r="A73" s="2">
        <v>4</v>
      </c>
      <c r="B73" s="2" t="s">
        <v>45</v>
      </c>
      <c r="C73" s="2">
        <v>15</v>
      </c>
      <c r="D73" s="11">
        <v>1791328350.521261</v>
      </c>
      <c r="E73" s="9">
        <v>238620</v>
      </c>
      <c r="F73" s="7">
        <f>E73*1024/1000000</f>
        <v>244.34688</v>
      </c>
    </row>
    <row r="74" spans="1:6" x14ac:dyDescent="0.25">
      <c r="A74" s="2">
        <v>4</v>
      </c>
      <c r="B74" s="2" t="s">
        <v>45</v>
      </c>
      <c r="C74" s="2">
        <v>16</v>
      </c>
      <c r="D74" s="11">
        <v>1791328361.5810902</v>
      </c>
      <c r="E74" s="9">
        <v>230352</v>
      </c>
      <c r="F74" s="7">
        <f>E74*1024/1000000</f>
        <v>235.880448</v>
      </c>
    </row>
    <row r="75" spans="1:6" x14ac:dyDescent="0.25">
      <c r="A75" s="2">
        <v>4</v>
      </c>
      <c r="B75" s="2" t="s">
        <v>45</v>
      </c>
      <c r="C75" s="2">
        <v>17</v>
      </c>
      <c r="D75" s="11">
        <v>1791328372.579486</v>
      </c>
      <c r="E75" s="9">
        <v>243904</v>
      </c>
      <c r="F75" s="7">
        <f>E75*1024/1000000</f>
        <v>249.757696</v>
      </c>
    </row>
    <row r="76" spans="1:6" x14ac:dyDescent="0.25">
      <c r="A76" s="2">
        <v>4</v>
      </c>
      <c r="B76" s="2" t="s">
        <v>45</v>
      </c>
      <c r="C76" s="2">
        <v>18</v>
      </c>
      <c r="D76" s="11">
        <v>1791328383.511336</v>
      </c>
      <c r="E76" s="9">
        <v>232344</v>
      </c>
      <c r="F76" s="7">
        <f>E76*1024/1000000</f>
        <v>237.920256</v>
      </c>
    </row>
    <row r="77" spans="1:6" x14ac:dyDescent="0.25">
      <c r="A77" s="2">
        <v>5</v>
      </c>
      <c r="B77" s="2" t="s">
        <v>45</v>
      </c>
      <c r="C77" s="2">
        <v>1</v>
      </c>
      <c r="D77" s="11">
        <v>1791328510.113545</v>
      </c>
      <c r="E77" s="9">
        <v>247072</v>
      </c>
      <c r="F77" s="7">
        <f>E77*1024/1000000</f>
        <v>253.001728</v>
      </c>
    </row>
    <row r="78" spans="1:6" x14ac:dyDescent="0.25">
      <c r="A78" s="2">
        <v>5</v>
      </c>
      <c r="B78" s="2" t="s">
        <v>45</v>
      </c>
      <c r="C78" s="2">
        <v>2</v>
      </c>
      <c r="D78" s="11">
        <v>1791328521.071289</v>
      </c>
      <c r="E78" s="9">
        <v>234008</v>
      </c>
      <c r="F78" s="7">
        <f>E78*1024/1000000</f>
        <v>239.624192</v>
      </c>
    </row>
    <row r="79" spans="1:6" x14ac:dyDescent="0.25">
      <c r="A79" s="2">
        <v>5</v>
      </c>
      <c r="B79" s="2" t="s">
        <v>45</v>
      </c>
      <c r="C79" s="2">
        <v>3</v>
      </c>
      <c r="D79" s="11">
        <v>1791328532.12523</v>
      </c>
      <c r="E79" s="9">
        <v>247708</v>
      </c>
      <c r="F79" s="7">
        <f>E79*1024/1000000</f>
        <v>253.652992</v>
      </c>
    </row>
    <row r="80" spans="1:6" x14ac:dyDescent="0.25">
      <c r="A80" s="2">
        <v>5</v>
      </c>
      <c r="B80" s="2" t="s">
        <v>45</v>
      </c>
      <c r="C80" s="2">
        <v>4</v>
      </c>
      <c r="D80" s="11">
        <v>1791328543.076588</v>
      </c>
      <c r="E80" s="9">
        <v>240288</v>
      </c>
      <c r="F80" s="7">
        <f>E80*1024/1000000</f>
        <v>246.054912</v>
      </c>
    </row>
    <row r="81" spans="1:6" x14ac:dyDescent="0.25">
      <c r="A81" s="2">
        <v>5</v>
      </c>
      <c r="B81" s="2" t="s">
        <v>45</v>
      </c>
      <c r="C81" s="2">
        <v>5</v>
      </c>
      <c r="D81" s="11">
        <v>1791328554.1180706</v>
      </c>
      <c r="E81" s="9">
        <v>254064</v>
      </c>
      <c r="F81" s="7">
        <f>E81*1024/1000000</f>
        <v>260.161536</v>
      </c>
    </row>
    <row r="82" spans="1:6" x14ac:dyDescent="0.25">
      <c r="A82" s="2">
        <v>5</v>
      </c>
      <c r="B82" s="2" t="s">
        <v>45</v>
      </c>
      <c r="C82" s="2">
        <v>6</v>
      </c>
      <c r="D82" s="11">
        <v>1791328565.1812894</v>
      </c>
      <c r="E82" s="9">
        <v>247708</v>
      </c>
      <c r="F82" s="7">
        <f>E82*1024/1000000</f>
        <v>253.652992</v>
      </c>
    </row>
    <row r="83" spans="1:6" x14ac:dyDescent="0.25">
      <c r="A83" s="2">
        <v>5</v>
      </c>
      <c r="B83" s="2" t="s">
        <v>45</v>
      </c>
      <c r="C83" s="2">
        <v>7</v>
      </c>
      <c r="D83" s="11">
        <v>1791328576.127168</v>
      </c>
      <c r="E83" s="9">
        <v>234144</v>
      </c>
      <c r="F83" s="7">
        <f>E83*1024/1000000</f>
        <v>239.763456</v>
      </c>
    </row>
    <row r="84" spans="1:6" x14ac:dyDescent="0.25">
      <c r="A84" s="2">
        <v>5</v>
      </c>
      <c r="B84" s="2" t="s">
        <v>45</v>
      </c>
      <c r="C84" s="2">
        <v>8</v>
      </c>
      <c r="D84" s="11">
        <v>1791328587.1305914</v>
      </c>
      <c r="E84" s="9">
        <v>247860</v>
      </c>
      <c r="F84" s="7">
        <f>E84*1024/1000000</f>
        <v>253.80864</v>
      </c>
    </row>
    <row r="85" spans="1:6" x14ac:dyDescent="0.25">
      <c r="A85" s="2">
        <v>5</v>
      </c>
      <c r="B85" s="2" t="s">
        <v>45</v>
      </c>
      <c r="C85" s="2">
        <v>9</v>
      </c>
      <c r="D85" s="11">
        <v>1791328598.0279584</v>
      </c>
      <c r="E85" s="9">
        <v>238628</v>
      </c>
      <c r="F85" s="7">
        <f>E85*1024/1000000</f>
        <v>244.355072</v>
      </c>
    </row>
    <row r="86" spans="1:6" x14ac:dyDescent="0.25">
      <c r="A86" s="2">
        <v>5</v>
      </c>
      <c r="B86" s="2" t="s">
        <v>45</v>
      </c>
      <c r="C86" s="2">
        <v>10</v>
      </c>
      <c r="D86" s="11">
        <v>1791328608.980947</v>
      </c>
      <c r="E86" s="9">
        <v>251928</v>
      </c>
      <c r="F86" s="7">
        <f>E86*1024/1000000</f>
        <v>257.974272</v>
      </c>
    </row>
    <row r="87" spans="1:6" x14ac:dyDescent="0.25">
      <c r="A87" s="2">
        <v>5</v>
      </c>
      <c r="B87" s="2" t="s">
        <v>45</v>
      </c>
      <c r="C87" s="2">
        <v>11</v>
      </c>
      <c r="D87" s="11">
        <v>1791328619.8468063</v>
      </c>
      <c r="E87" s="9">
        <v>252436</v>
      </c>
      <c r="F87" s="7">
        <f>E87*1024/1000000</f>
        <v>258.494464</v>
      </c>
    </row>
    <row r="88" spans="1:6" x14ac:dyDescent="0.25">
      <c r="A88" s="2">
        <v>5</v>
      </c>
      <c r="B88" s="2" t="s">
        <v>45</v>
      </c>
      <c r="C88" s="2">
        <v>12</v>
      </c>
      <c r="D88" s="11">
        <v>1791328630.879199</v>
      </c>
      <c r="E88" s="9">
        <v>242776</v>
      </c>
      <c r="F88" s="7">
        <f>E88*1024/1000000</f>
        <v>248.602624</v>
      </c>
    </row>
    <row r="89" spans="1:6" x14ac:dyDescent="0.25">
      <c r="A89" s="2">
        <v>5</v>
      </c>
      <c r="B89" s="2" t="s">
        <v>45</v>
      </c>
      <c r="C89" s="2">
        <v>13</v>
      </c>
      <c r="D89" s="11">
        <v>1791328641.8955774</v>
      </c>
      <c r="E89" s="9">
        <v>233836</v>
      </c>
      <c r="F89" s="7">
        <f>E89*1024/1000000</f>
        <v>239.448064</v>
      </c>
    </row>
    <row r="90" spans="1:6" x14ac:dyDescent="0.25">
      <c r="A90" s="2">
        <v>5</v>
      </c>
      <c r="B90" s="2" t="s">
        <v>45</v>
      </c>
      <c r="C90" s="2">
        <v>14</v>
      </c>
      <c r="D90" s="11">
        <v>1791328652.8499784</v>
      </c>
      <c r="E90" s="9">
        <v>246924</v>
      </c>
      <c r="F90" s="7">
        <f>E90*1024/1000000</f>
        <v>252.850176</v>
      </c>
    </row>
    <row r="91" spans="1:6" x14ac:dyDescent="0.25">
      <c r="A91" s="2">
        <v>5</v>
      </c>
      <c r="B91" s="2" t="s">
        <v>45</v>
      </c>
      <c r="C91" s="2">
        <v>15</v>
      </c>
      <c r="D91" s="11">
        <v>1791328663.7699523</v>
      </c>
      <c r="E91" s="9">
        <v>238432</v>
      </c>
      <c r="F91" s="7">
        <f>E91*1024/1000000</f>
        <v>244.154368</v>
      </c>
    </row>
    <row r="92" spans="1:6" x14ac:dyDescent="0.25">
      <c r="A92" s="2">
        <v>5</v>
      </c>
      <c r="B92" s="2" t="s">
        <v>45</v>
      </c>
      <c r="C92" s="2">
        <v>16</v>
      </c>
      <c r="D92" s="11">
        <v>1791328674.700909</v>
      </c>
      <c r="E92" s="9">
        <v>252676</v>
      </c>
      <c r="F92" s="7">
        <f>E92*1024/1000000</f>
        <v>258.740224</v>
      </c>
    </row>
    <row r="93" spans="1:6" x14ac:dyDescent="0.25">
      <c r="A93" s="2">
        <v>5</v>
      </c>
      <c r="B93" s="2" t="s">
        <v>45</v>
      </c>
      <c r="C93" s="2">
        <v>17</v>
      </c>
      <c r="D93" s="11">
        <v>1791328685.7971804</v>
      </c>
      <c r="E93" s="9">
        <v>242040</v>
      </c>
      <c r="F93" s="7">
        <f>E93*1024/1000000</f>
        <v>247.84896</v>
      </c>
    </row>
    <row r="94" spans="1:6" x14ac:dyDescent="0.25">
      <c r="A94" s="2">
        <v>5</v>
      </c>
      <c r="B94" s="2" t="s">
        <v>45</v>
      </c>
      <c r="C94" s="2">
        <v>18</v>
      </c>
      <c r="D94" s="11">
        <v>1791328696.7821171</v>
      </c>
      <c r="E94" s="9">
        <v>233896</v>
      </c>
      <c r="F94" s="7">
        <f>E94*1024/1000000</f>
        <v>239.509504</v>
      </c>
    </row>
    <row r="95" spans="1:6" x14ac:dyDescent="0.25">
      <c r="A95" s="2">
        <v>6</v>
      </c>
      <c r="B95" s="2" t="s">
        <v>42</v>
      </c>
      <c r="C95" s="2">
        <v>1</v>
      </c>
      <c r="D95" s="11">
        <v>1791328845.0629523</v>
      </c>
      <c r="E95" s="9">
        <v>241872</v>
      </c>
      <c r="F95" s="7">
        <f>E95*1024/1000000</f>
        <v>247.676928</v>
      </c>
    </row>
    <row r="96" spans="1:6" x14ac:dyDescent="0.25">
      <c r="A96" s="2">
        <v>6</v>
      </c>
      <c r="B96" s="2" t="s">
        <v>42</v>
      </c>
      <c r="C96" s="2">
        <v>2</v>
      </c>
      <c r="D96" s="11">
        <v>1791328856.0206099</v>
      </c>
      <c r="E96" s="9">
        <v>233588</v>
      </c>
      <c r="F96" s="7">
        <f>E96*1024/1000000</f>
        <v>239.194112</v>
      </c>
    </row>
    <row r="97" spans="1:6" x14ac:dyDescent="0.25">
      <c r="A97" s="2">
        <v>6</v>
      </c>
      <c r="B97" s="2" t="s">
        <v>42</v>
      </c>
      <c r="C97" s="2">
        <v>3</v>
      </c>
      <c r="D97" s="11">
        <v>1791328866.9888651</v>
      </c>
      <c r="E97" s="9">
        <v>246848</v>
      </c>
      <c r="F97" s="7">
        <f>E97*1024/1000000</f>
        <v>252.772352</v>
      </c>
    </row>
    <row r="98" spans="1:6" x14ac:dyDescent="0.25">
      <c r="A98" s="2">
        <v>6</v>
      </c>
      <c r="B98" s="2" t="s">
        <v>42</v>
      </c>
      <c r="C98" s="2">
        <v>4</v>
      </c>
      <c r="D98" s="11">
        <v>1791328878.0462945</v>
      </c>
      <c r="E98" s="9">
        <v>234136</v>
      </c>
      <c r="F98" s="7">
        <f>E98*1024/1000000</f>
        <v>239.755264</v>
      </c>
    </row>
    <row r="99" spans="1:6" x14ac:dyDescent="0.25">
      <c r="A99" s="2">
        <v>6</v>
      </c>
      <c r="B99" s="2" t="s">
        <v>42</v>
      </c>
      <c r="C99" s="2">
        <v>5</v>
      </c>
      <c r="D99" s="11">
        <v>1791328889.07946</v>
      </c>
      <c r="E99" s="9">
        <v>247428</v>
      </c>
      <c r="F99" s="7">
        <f>E99*1024/1000000</f>
        <v>253.366272</v>
      </c>
    </row>
    <row r="100" spans="1:6" x14ac:dyDescent="0.25">
      <c r="A100" s="2">
        <v>6</v>
      </c>
      <c r="B100" s="2" t="s">
        <v>42</v>
      </c>
      <c r="C100" s="2">
        <v>6</v>
      </c>
      <c r="D100" s="11">
        <v>1791328899.9809604</v>
      </c>
      <c r="E100" s="9">
        <v>236020</v>
      </c>
      <c r="F100" s="7">
        <f>E100*1024/1000000</f>
        <v>241.68448</v>
      </c>
    </row>
    <row r="101" spans="1:6" x14ac:dyDescent="0.25">
      <c r="A101" s="2">
        <v>6</v>
      </c>
      <c r="B101" s="2" t="s">
        <v>42</v>
      </c>
      <c r="C101" s="2">
        <v>7</v>
      </c>
      <c r="D101" s="11">
        <v>1791328910.9026005</v>
      </c>
      <c r="E101" s="9">
        <v>227212</v>
      </c>
      <c r="F101" s="7">
        <f>E101*1024/1000000</f>
        <v>232.665088</v>
      </c>
    </row>
    <row r="102" spans="1:6" x14ac:dyDescent="0.25">
      <c r="A102" s="2">
        <v>6</v>
      </c>
      <c r="B102" s="2" t="s">
        <v>42</v>
      </c>
      <c r="C102" s="2">
        <v>8</v>
      </c>
      <c r="D102" s="11">
        <v>1791328921.7522447</v>
      </c>
      <c r="E102" s="9">
        <v>227212</v>
      </c>
      <c r="F102" s="7">
        <f>E102*1024/1000000</f>
        <v>232.665088</v>
      </c>
    </row>
    <row r="103" spans="1:6" x14ac:dyDescent="0.25">
      <c r="A103" s="2">
        <v>6</v>
      </c>
      <c r="B103" s="2" t="s">
        <v>42</v>
      </c>
      <c r="C103" s="2">
        <v>9</v>
      </c>
      <c r="D103" s="11">
        <v>1791328932.6701713</v>
      </c>
      <c r="E103" s="9">
        <v>240388</v>
      </c>
      <c r="F103" s="7">
        <f>E103*1024/1000000</f>
        <v>246.157312</v>
      </c>
    </row>
    <row r="104" spans="1:6" x14ac:dyDescent="0.25">
      <c r="A104" s="2">
        <v>6</v>
      </c>
      <c r="B104" s="2" t="s">
        <v>42</v>
      </c>
      <c r="C104" s="2">
        <v>10</v>
      </c>
      <c r="D104" s="11">
        <v>1791328943.6085773</v>
      </c>
      <c r="E104" s="9">
        <v>232324</v>
      </c>
      <c r="F104" s="7">
        <f>E104*1024/1000000</f>
        <v>237.899776</v>
      </c>
    </row>
    <row r="105" spans="1:6" x14ac:dyDescent="0.25">
      <c r="A105" s="2">
        <v>6</v>
      </c>
      <c r="B105" s="2" t="s">
        <v>42</v>
      </c>
      <c r="C105" s="2">
        <v>11</v>
      </c>
      <c r="D105" s="11">
        <v>1791328954.576178</v>
      </c>
      <c r="E105" s="9">
        <v>245684</v>
      </c>
      <c r="F105" s="7">
        <f>E105*1024/1000000</f>
        <v>251.580416</v>
      </c>
    </row>
    <row r="106" spans="1:6" x14ac:dyDescent="0.25">
      <c r="A106" s="2">
        <v>6</v>
      </c>
      <c r="B106" s="2" t="s">
        <v>42</v>
      </c>
      <c r="C106" s="2">
        <v>12</v>
      </c>
      <c r="D106" s="11">
        <v>1791328965.5564752</v>
      </c>
      <c r="E106" s="9">
        <v>233000</v>
      </c>
      <c r="F106" s="7">
        <f>E106*1024/1000000</f>
        <v>238.592</v>
      </c>
    </row>
    <row r="107" spans="1:6" x14ac:dyDescent="0.25">
      <c r="A107" s="2">
        <v>6</v>
      </c>
      <c r="B107" s="2" t="s">
        <v>42</v>
      </c>
      <c r="C107" s="2">
        <v>13</v>
      </c>
      <c r="D107" s="11">
        <v>1791328976.5134928</v>
      </c>
      <c r="E107" s="9">
        <v>246608</v>
      </c>
      <c r="F107" s="7">
        <f>E107*1024/1000000</f>
        <v>252.526592</v>
      </c>
    </row>
    <row r="108" spans="1:6" x14ac:dyDescent="0.25">
      <c r="A108" s="2">
        <v>6</v>
      </c>
      <c r="B108" s="2" t="s">
        <v>42</v>
      </c>
      <c r="C108" s="2">
        <v>14</v>
      </c>
      <c r="D108" s="11">
        <v>1791328987.5551357</v>
      </c>
      <c r="E108" s="9">
        <v>236088</v>
      </c>
      <c r="F108" s="7">
        <f>E108*1024/1000000</f>
        <v>241.754112</v>
      </c>
    </row>
    <row r="109" spans="1:6" x14ac:dyDescent="0.25">
      <c r="A109" s="2">
        <v>6</v>
      </c>
      <c r="B109" s="2" t="s">
        <v>42</v>
      </c>
      <c r="C109" s="2">
        <v>15</v>
      </c>
      <c r="D109" s="11">
        <v>1791328998.5504339</v>
      </c>
      <c r="E109" s="9">
        <v>228096</v>
      </c>
      <c r="F109" s="7">
        <f>E109*1024/1000000</f>
        <v>233.570304</v>
      </c>
    </row>
    <row r="110" spans="1:6" x14ac:dyDescent="0.25">
      <c r="A110" s="2">
        <v>6</v>
      </c>
      <c r="B110" s="2" t="s">
        <v>42</v>
      </c>
      <c r="C110" s="2">
        <v>16</v>
      </c>
      <c r="D110" s="11">
        <v>1791329009.5304508</v>
      </c>
      <c r="E110" s="9">
        <v>241644</v>
      </c>
      <c r="F110" s="7">
        <f>E110*1024/1000000</f>
        <v>247.443456</v>
      </c>
    </row>
    <row r="111" spans="1:6" x14ac:dyDescent="0.25">
      <c r="A111" s="2">
        <v>6</v>
      </c>
      <c r="B111" s="2" t="s">
        <v>42</v>
      </c>
      <c r="C111" s="2">
        <v>17</v>
      </c>
      <c r="D111" s="11">
        <v>1791329020.4164608</v>
      </c>
      <c r="E111" s="9">
        <v>232932</v>
      </c>
      <c r="F111" s="7">
        <f>E111*1024/1000000</f>
        <v>238.522368</v>
      </c>
    </row>
    <row r="112" spans="1:6" x14ac:dyDescent="0.25">
      <c r="A112" s="2">
        <v>6</v>
      </c>
      <c r="B112" s="2" t="s">
        <v>42</v>
      </c>
      <c r="C112" s="2">
        <v>18</v>
      </c>
      <c r="D112" s="11">
        <v>1791329031.3591912</v>
      </c>
      <c r="E112" s="9">
        <v>246704</v>
      </c>
      <c r="F112" s="7">
        <f>E112*1024/1000000</f>
        <v>252.624896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0" customWidth="1"/>
  </cols>
  <sheetData>
    <row r="1" spans="1:1" x14ac:dyDescent="0.25">
      <c r="A1" s="1" t="s">
        <v>63</v>
      </c>
    </row>
    <row r="3" ht="42" customHeight="1" spans="1:2" x14ac:dyDescent="0.25">
      <c r="A3" s="3" t="s">
        <v>64</v>
      </c>
      <c r="B3" s="3" t="s">
        <v>65</v>
      </c>
    </row>
    <row r="4" spans="1:2" x14ac:dyDescent="0.25">
      <c r="A4" s="2" t="s">
        <v>66</v>
      </c>
      <c r="B4" s="12" t="s">
        <v>67</v>
      </c>
    </row>
    <row r="5" spans="1:2" x14ac:dyDescent="0.25">
      <c r="A5" s="2" t="s">
        <v>68</v>
      </c>
      <c r="B5" s="12" t="s">
        <v>69</v>
      </c>
    </row>
    <row r="6" spans="1:2" x14ac:dyDescent="0.25">
      <c r="A6" s="2" t="s">
        <v>70</v>
      </c>
      <c r="B6" s="12" t="s">
        <v>71</v>
      </c>
    </row>
    <row r="7" spans="1:2" x14ac:dyDescent="0.25">
      <c r="A7" s="2" t="s">
        <v>72</v>
      </c>
      <c r="B7" s="12" t="s">
        <v>73</v>
      </c>
    </row>
    <row r="8" spans="1:2" x14ac:dyDescent="0.25">
      <c r="A8" s="2" t="s">
        <v>74</v>
      </c>
      <c r="B8" s="12" t="s">
        <v>75</v>
      </c>
    </row>
    <row r="9" spans="1:2" x14ac:dyDescent="0.25">
      <c r="A9" s="2" t="s">
        <v>29</v>
      </c>
      <c r="B9" s="12" t="s">
        <v>76</v>
      </c>
    </row>
    <row r="10" spans="1:2" x14ac:dyDescent="0.25">
      <c r="A10" s="2" t="s">
        <v>77</v>
      </c>
      <c r="B10" s="12" t="s">
        <v>78</v>
      </c>
    </row>
    <row r="11" spans="1:2" x14ac:dyDescent="0.25">
      <c r="A11" s="2" t="s">
        <v>79</v>
      </c>
      <c r="B11" s="12" t="s">
        <v>80</v>
      </c>
    </row>
    <row r="12" spans="1:2" x14ac:dyDescent="0.25">
      <c r="A12" s="2" t="s">
        <v>81</v>
      </c>
      <c r="B12" s="12" t="s">
        <v>82</v>
      </c>
    </row>
    <row r="13" spans="1:2" x14ac:dyDescent="0.25">
      <c r="A13" s="2" t="s">
        <v>83</v>
      </c>
      <c r="B13" s="12" t="s">
        <v>84</v>
      </c>
    </row>
    <row r="14" spans="1:2" x14ac:dyDescent="0.25">
      <c r="A14" s="2" t="s">
        <v>85</v>
      </c>
      <c r="B14" s="12" t="s">
        <v>86</v>
      </c>
    </row>
    <row r="15" spans="1:2" x14ac:dyDescent="0.25">
      <c r="A15" s="2" t="s">
        <v>87</v>
      </c>
      <c r="B15" s="1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Rodadas</vt:lpstr>
      <vt:lpstr>CPU por amostra</vt:lpstr>
      <vt:lpstr>RSS</vt:lpstr>
      <vt:lpstr>Método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LuigiMacarini</dc:creator>
  <dc:title/>
  <dc:subject/>
  <dc:description/>
  <cp:keywords/>
  <cp:category/>
  <cp:lastModifiedBy>Unknown</cp:lastModifiedBy>
  <dcterms:created xsi:type="dcterms:W3CDTF">2026-10-07T00:24:08Z</dcterms:created>
  <dcterms:modified xsi:type="dcterms:W3CDTF">2026-10-07T00:24:08Z</dcterms:modified>
</cp:coreProperties>
</file>